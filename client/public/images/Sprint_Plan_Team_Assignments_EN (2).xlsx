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print Overview" sheetId="1" state="visible" r:id="rId3"/>
    <sheet name="Sprint Backlog" sheetId="2" state="visible" r:id="rId4"/>
    <sheet name="Team Workload" sheetId="3" state="visible" r:id="rId5"/>
    <sheet name="Legend &amp; Labels" sheetId="4" state="visible" r:id="rId6"/>
  </sheets>
  <definedNames>
    <definedName function="false" hidden="true" localSheetId="1" name="_xlnm._FilterDatabase" vbProcedure="false">'Sprint Backlog'!$A$1:$I$142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<sst xmlns="http://schemas.openxmlformats.org/spreadsheetml/2006/main" count="994" uniqueCount="262">
  <si>
    <t xml:space="preserve">Sprint</t>
  </si>
  <si>
    <t xml:space="preserve">Week</t>
  </si>
  <si>
    <t xml:space="preserve">Sprint Goal</t>
  </si>
  <si>
    <t xml:space="preserve">Key Epics / Work Streams</t>
  </si>
  <si>
    <t xml:space="preserve">Sprint 1</t>
  </si>
  <si>
    <t xml:space="preserve">Week 1</t>
  </si>
  <si>
    <t xml:space="preserve">Lay the foundation: accounts, authentication, patient and provider profiles, design system. Front-end also starts building the Search Results and Provider Details pages against mock data.</t>
  </si>
  <si>
    <t xml:space="preserve">E1 (partial), E2 (partial), E3 (partial), E4/E5 (UI shell only), E10 (partial), Design, Analytics, QA, PM</t>
  </si>
  <si>
    <t xml:space="preserve">Sprint 2</t>
  </si>
  <si>
    <t xml:space="preserve">Week 2</t>
  </si>
  <si>
    <t xml:space="preserve">Search, provider availability, and license verification; wire the Sprint 1 mock UI to real endpoints</t>
  </si>
  <si>
    <t xml:space="preserve">E3 (license submission), E9 (license review), E6, E4, E5, E10, Design, Analytics, QA, PM</t>
  </si>
  <si>
    <t xml:space="preserve">Sprint 3</t>
  </si>
  <si>
    <t xml:space="preserve">Week 3</t>
  </si>
  <si>
    <t xml:space="preserve">End-to-end integration of pages 1-3, account management, password reset, onboarding for Vanya</t>
  </si>
  <si>
    <t xml:space="preserve">E1 (password reset), E9 (account management), E10 (final), Integration, Design, Analytics, QA, PM</t>
  </si>
  <si>
    <t xml:space="preserve">Sprint 4</t>
  </si>
  <si>
    <t xml:space="preserve">Week 4</t>
  </si>
  <si>
    <t xml:space="preserve">Appointment booking, appointment management, stabilization and release prep</t>
  </si>
  <si>
    <t xml:space="preserve">E7, E8, E2 (remainder), E6 (remainder), Support, Design, Analytics, QA, PM</t>
  </si>
  <si>
    <t xml:space="preserve">#</t>
  </si>
  <si>
    <t xml:space="preserve">Epic</t>
  </si>
  <si>
    <t xml:space="preserve">Label</t>
  </si>
  <si>
    <t xml:space="preserve">Type</t>
  </si>
  <si>
    <t xml:space="preserve">Summary (issue)</t>
  </si>
  <si>
    <t xml:space="preserve">Assignee</t>
  </si>
  <si>
    <t xml:space="preserve">Role</t>
  </si>
  <si>
    <t xml:space="preserve">Note</t>
  </si>
  <si>
    <t xml:space="preserve">Design</t>
  </si>
  <si>
    <t xml:space="preserve">design</t>
  </si>
  <si>
    <t xml:space="preserve">Task</t>
  </si>
  <si>
    <t xml:space="preserve">Wireframes for the 4 site pages</t>
  </si>
  <si>
    <t xml:space="preserve">Illia</t>
  </si>
  <si>
    <t xml:space="preserve">Designer (UI/UX)</t>
  </si>
  <si>
    <t xml:space="preserve">UI kit (colors, typography, base components)</t>
  </si>
  <si>
    <t xml:space="preserve">E1</t>
  </si>
  <si>
    <t xml:space="preserve">E1-S1</t>
  </si>
  <si>
    <t xml:space="preserve">Story</t>
  </si>
  <si>
    <t xml:space="preserve">As a user, I want to register with email and password, so that I can get access to the platform.</t>
  </si>
  <si>
    <t xml:space="preserve">Build the registration API (backend)</t>
  </si>
  <si>
    <t xml:space="preserve">Marika</t>
  </si>
  <si>
    <t xml:space="preserve">Backend Developer</t>
  </si>
  <si>
    <t xml:space="preserve">Sub-task</t>
  </si>
  <si>
    <t xml:space="preserve">Validate email format and minimum password requirements</t>
  </si>
  <si>
    <t xml:space="preserve">Hash the password before storing it in the database</t>
  </si>
  <si>
    <t xml:space="preserve">Check for duplicate email addresses</t>
  </si>
  <si>
    <t xml:space="preserve">Build the registration form (frontend)</t>
  </si>
  <si>
    <t xml:space="preserve">Yana</t>
  </si>
  <si>
    <t xml:space="preserve">Front-end Developer</t>
  </si>
  <si>
    <t xml:space="preserve">Client-side field validation</t>
  </si>
  <si>
    <t xml:space="preserve">Handle and display API errors</t>
  </si>
  <si>
    <t xml:space="preserve">E1-S2</t>
  </si>
  <si>
    <t xml:space="preserve">As a user, I want to choose my role during registration (patient / provider), so that the system shows me the right functionality.</t>
  </si>
  <si>
    <t xml:space="preserve">Add a "role" field to the user model</t>
  </si>
  <si>
    <t xml:space="preserve">Implement a role switch on the registration form</t>
  </si>
  <si>
    <t xml:space="preserve">E1-S3</t>
  </si>
  <si>
    <t xml:space="preserve">As a user, I want to log in, so that I can reach my personal cabinet.</t>
  </si>
  <si>
    <t xml:space="preserve">Login API that issues a token/session</t>
  </si>
  <si>
    <t xml:space="preserve">Basic rate limiting on failed login attempts</t>
  </si>
  <si>
    <t xml:space="preserve">Login form (frontend)</t>
  </si>
  <si>
    <t xml:space="preserve">Yaroslav</t>
  </si>
  <si>
    <t xml:space="preserve">E1-S4</t>
  </si>
  <si>
    <t xml:space="preserve">As a user, I want to log out, so that I can protect my account on a shared device.</t>
  </si>
  <si>
    <t xml:space="preserve">Implement logout (invalidate token/session)</t>
  </si>
  <si>
    <t xml:space="preserve">E1-S5</t>
  </si>
  <si>
    <t xml:space="preserve">As a user, I want to reset my password if I forget it.</t>
  </si>
  <si>
    <t xml:space="preserve">New-password form (frontend)</t>
  </si>
  <si>
    <t xml:space="preserve">Backend tasks for this story moved to Sprint 3 - see rebalancing note</t>
  </si>
  <si>
    <t xml:space="preserve">E2</t>
  </si>
  <si>
    <t xml:space="preserve">E2-S1</t>
  </si>
  <si>
    <t xml:space="preserve">As a patient, I want to create and edit my profile, so that the provider and the system see up-to-date information about me.</t>
  </si>
  <si>
    <t xml:space="preserve">Patient profile CRUD API</t>
  </si>
  <si>
    <t xml:space="preserve">Profile create/edit form (UI)</t>
  </si>
  <si>
    <t xml:space="preserve">E2-S2</t>
  </si>
  <si>
    <t xml:space="preserve">As a patient, I want to specify my location, so that I get relevant search results.</t>
  </si>
  <si>
    <t xml:space="preserve">Text field for location + save it to the profile</t>
  </si>
  <si>
    <t xml:space="preserve">E2-S3</t>
  </si>
  <si>
    <t xml:space="preserve">As a patient, I want to specify the language(s) I speak, so that I can find a provider I can communicate with.</t>
  </si>
  <si>
    <t xml:space="preserve">Multi-select language field in the profile</t>
  </si>
  <si>
    <t xml:space="preserve">E2-S4</t>
  </si>
  <si>
    <t xml:space="preserve">As a patient, I want to optionally specify my pregnancy week, giving explicit consent to its processing.</t>
  </si>
  <si>
    <t xml:space="preserve">"Pregnancy week" field + a separate explicit-consent checkbox</t>
  </si>
  <si>
    <t xml:space="preserve">Explanatory text on why this data is collected and how it is used</t>
  </si>
  <si>
    <t xml:space="preserve">Anna</t>
  </si>
  <si>
    <t xml:space="preserve">PM</t>
  </si>
  <si>
    <t xml:space="preserve">E3</t>
  </si>
  <si>
    <t xml:space="preserve">E3-S1</t>
  </si>
  <si>
    <t xml:space="preserve">As a provider, I want to create and edit a profile (name, specialization, address, languages, description, contacts).</t>
  </si>
  <si>
    <t xml:space="preserve">Provider profile CRUD API</t>
  </si>
  <si>
    <t xml:space="preserve">Provider profile form (UI)</t>
  </si>
  <si>
    <t xml:space="preserve">E3-S2</t>
  </si>
  <si>
    <t xml:space="preserve">As a provider, I want to list the services I offer, so that patients can select them when booking.</t>
  </si>
  <si>
    <t xml:space="preserve">"Service" model (name, duration)</t>
  </si>
  <si>
    <t xml:space="preserve">UI to manage the list of services (add/edit/remove)</t>
  </si>
  <si>
    <t xml:space="preserve">E4</t>
  </si>
  <si>
    <t xml:space="preserve">E4-S1</t>
  </si>
  <si>
    <t xml:space="preserve">Search results page UI with a filter panel</t>
  </si>
  <si>
    <t xml:space="preserve">Built against mock data and Sprint 1 wireframes; wired to the live endpoint in Sprint 2</t>
  </si>
  <si>
    <t xml:space="preserve">E5</t>
  </si>
  <si>
    <t xml:space="preserve">E5-S1</t>
  </si>
  <si>
    <t xml:space="preserve">Provider profile page UI</t>
  </si>
  <si>
    <t xml:space="preserve">E10</t>
  </si>
  <si>
    <t xml:space="preserve">E10-S1</t>
  </si>
  <si>
    <t xml:space="preserve">As the product owner, I want passwords never to be stored in plain text, so that a data breach has minimal impact.</t>
  </si>
  <si>
    <t xml:space="preserve">Set up password hashing (bcrypt/argon2)</t>
  </si>
  <si>
    <t xml:space="preserve">E10-S2</t>
  </si>
  <si>
    <t xml:space="preserve">As the product owner, I want access to data to be separated by role, so that patients, providers, and the administrator only see what they are authorized to see.</t>
  </si>
  <si>
    <t xml:space="preserve">Implement RBAC middleware on the backend for the three roles</t>
  </si>
  <si>
    <t xml:space="preserve">E10-S4</t>
  </si>
  <si>
    <t xml:space="preserve">As the product owner, I want data to be transmitted and stored encrypted.</t>
  </si>
  <si>
    <t xml:space="preserve">Set up HTTPS/TLS at the hosting level</t>
  </si>
  <si>
    <t xml:space="preserve">Analytics</t>
  </si>
  <si>
    <t xml:space="preserve">analytics</t>
  </si>
  <si>
    <t xml:space="preserve">Define key success metrics for the MVP</t>
  </si>
  <si>
    <t xml:space="preserve">Oksana</t>
  </si>
  <si>
    <t xml:space="preserve">Data Analyst</t>
  </si>
  <si>
    <t xml:space="preserve">QA</t>
  </si>
  <si>
    <t xml:space="preserve">qa</t>
  </si>
  <si>
    <t xml:space="preserve">Test cases for E1 (Registration &amp; Authentication)</t>
  </si>
  <si>
    <t xml:space="preserve">Iryna</t>
  </si>
  <si>
    <t xml:space="preserve">Test cases for E2-E3 (profiles)</t>
  </si>
  <si>
    <t xml:space="preserve">Testing of E1 features as they land</t>
  </si>
  <si>
    <t xml:space="preserve">pm</t>
  </si>
  <si>
    <t xml:space="preserve">Sprint planning &amp; backlog grooming (Sprint 1)</t>
  </si>
  <si>
    <t xml:space="preserve">Align wireframes and UI kit with the team</t>
  </si>
  <si>
    <t xml:space="preserve">E9</t>
  </si>
  <si>
    <t xml:space="preserve">E9-S1</t>
  </si>
  <si>
    <t xml:space="preserve">As a site administrator, I want to see a queue of providers awaiting license verification and approve or reject their registration.</t>
  </si>
  <si>
    <t xml:space="preserve">API for the queue of provider verification requests</t>
  </si>
  <si>
    <t xml:space="preserve">License review queue UI with "Approve"/"Reject" actions</t>
  </si>
  <si>
    <t xml:space="preserve">E3-S3</t>
  </si>
  <si>
    <t xml:space="preserve">As a provider, I want to submit my medical license data, so that the site administrator can verify me before my profile is published.</t>
  </si>
  <si>
    <t xml:space="preserve">Moved from Sprint 1 to rebalance backend workload and ship together with E9-S1</t>
  </si>
  <si>
    <t xml:space="preserve">A field/upload for the license document or number</t>
  </si>
  <si>
    <t xml:space="preserve">Validate file format and size</t>
  </si>
  <si>
    <t xml:space="preserve">Provider profile status: "Pending" / "Approved" / "Rejected"</t>
  </si>
  <si>
    <t xml:space="preserve">The profile is not shown in public search until the status is "Approved"</t>
  </si>
  <si>
    <t xml:space="preserve">E6</t>
  </si>
  <si>
    <t xml:space="preserve">E6-S1</t>
  </si>
  <si>
    <t xml:space="preserve">As a provider, I want to define my working hours, so that patients see when I'm available.</t>
  </si>
  <si>
    <t xml:space="preserve">Delivered together with E6-S1 tasks below</t>
  </si>
  <si>
    <t xml:space="preserve">As a provider, I want to create available time slots based on my schedule.</t>
  </si>
  <si>
    <t xml:space="preserve">As a provider, I want to mark specific dates/times as unavailable (vacation, sick leave, etc.).</t>
  </si>
  <si>
    <t xml:space="preserve">"Availability slot" model (provider, date, time, status)</t>
  </si>
  <si>
    <t xml:space="preserve">Schedule/slots CRUD API</t>
  </si>
  <si>
    <t xml:space="preserve">Availability calendar UI for the provider</t>
  </si>
  <si>
    <t xml:space="preserve">As a patient, I want to search for providers by location (text/city), so that I can find someone nearby.</t>
  </si>
  <si>
    <t xml:space="preserve">Delivered together with E4-S1 tasks below</t>
  </si>
  <si>
    <t xml:space="preserve">As a patient, I want to filter by specialization and service, so that I find exactly what I need.</t>
  </si>
  <si>
    <t xml:space="preserve">As a patient, I want to filter by spoken language.</t>
  </si>
  <si>
    <t xml:space="preserve">As a patient, I want to filter by availability (has open slots soon).</t>
  </si>
  <si>
    <t xml:space="preserve">Backend search endpoint supporting combined filters (query params)</t>
  </si>
  <si>
    <t xml:space="preserve">Index the database fields used by the filters (performance)</t>
  </si>
  <si>
    <t xml:space="preserve">Handle an empty result set (a "nothing found" UX message)</t>
  </si>
  <si>
    <t xml:space="preserve">Connect the Search &amp; Results UI to the live search endpoint</t>
  </si>
  <si>
    <t xml:space="preserve">Wires the Sprint 1 mock-data UI to the endpoint delivered this sprint</t>
  </si>
  <si>
    <t xml:space="preserve">As a patient, I want to open a provider's profile and see their basic information, services, location, languages, schedule, and available slots, so that I can decide whether to book.</t>
  </si>
  <si>
    <t xml:space="preserve">Endpoint returning full provider data together with available slots</t>
  </si>
  <si>
    <t xml:space="preserve">Connect the Provider Details UI to the live provider endpoint</t>
  </si>
  <si>
    <t xml:space="preserve">E10-S5</t>
  </si>
  <si>
    <t xml:space="preserve">As the product owner, I want baseline protection against common web attacks (OWASP Top 10), so that the risk of a personal-data leak is reduced.</t>
  </si>
  <si>
    <t xml:space="preserve">Validation and parameterized queries against SQL injection (A05 Injection)</t>
  </si>
  <si>
    <t xml:space="preserve">A basic audit of the cloud environment's configuration (A02 Security Misconfiguration)</t>
  </si>
  <si>
    <t xml:space="preserve">High-fidelity mockups: Search &amp; Results, Provider Details, Dashboard (role views), License review queue</t>
  </si>
  <si>
    <t xml:space="preserve">Event-tracking plan for the Search and Provider Details pages</t>
  </si>
  <si>
    <t xml:space="preserve">Test cases for E4-E6, E9</t>
  </si>
  <si>
    <t xml:space="preserve">Testing of Sprint 1 features (regression #0)</t>
  </si>
  <si>
    <t xml:space="preserve">Sprint planning (Sprint 2), review of Sprint 1 results</t>
  </si>
  <si>
    <t xml:space="preserve">Stakeholder/mentor communication on progress</t>
  </si>
  <si>
    <t xml:space="preserve">E9-S2</t>
  </si>
  <si>
    <t xml:space="preserve">As a site administrator, I want to add, deactivate, or remove user and provider accounts.</t>
  </si>
  <si>
    <t xml:space="preserve">Account management API (list/deactivate/delete)</t>
  </si>
  <si>
    <t xml:space="preserve">UI listing users/providers with management actions</t>
  </si>
  <si>
    <t xml:space="preserve">E10-S3</t>
  </si>
  <si>
    <t xml:space="preserve">As the product owner, I want access to sensitive medical data to be logged, so that incidents can be investigated.</t>
  </si>
  <si>
    <t xml:space="preserve">Implement an audit log for access to profiles and sensitive fields (e.g., pregnancy week)</t>
  </si>
  <si>
    <t xml:space="preserve">Enable encryption at rest at the database/storage level</t>
  </si>
  <si>
    <t xml:space="preserve">Second task of Story E10-S4, started in Sprint 1</t>
  </si>
  <si>
    <t xml:space="preserve">"Forgot password" endpoint + generation of a one-time reset token</t>
  </si>
  <si>
    <t xml:space="preserve">Moved from Sprint 1 to rebalance backend workload</t>
  </si>
  <si>
    <t xml:space="preserve">Send the password-reset email (email service integration)</t>
  </si>
  <si>
    <t xml:space="preserve">Integration</t>
  </si>
  <si>
    <t xml:space="preserve">integration</t>
  </si>
  <si>
    <t xml:space="preserve">End-to-end integration of the Search and Provider Details pages with the real API</t>
  </si>
  <si>
    <t xml:space="preserve">End-to-end integration of profile forms and the admin panel with the real API</t>
  </si>
  <si>
    <t xml:space="preserve">Responsive/mobile layout: Home and Dashboard</t>
  </si>
  <si>
    <t xml:space="preserve">Responsive/mobile layout: Search and Provider Details</t>
  </si>
  <si>
    <t xml:space="preserve">Visual QA of implemented UI vs. mockups</t>
  </si>
  <si>
    <t xml:space="preserve">Booking-flow mockups (calendar, form, confirmation) for Sprint 4</t>
  </si>
  <si>
    <t xml:space="preserve">Implement event tracking on pages 1-3 together with front-end</t>
  </si>
  <si>
    <t xml:space="preserve">Integration testing of Sprint 1-2 features</t>
  </si>
  <si>
    <t xml:space="preserve">Regression testing #1</t>
  </si>
  <si>
    <t xml:space="preserve">Bug tracking / bug log maintenance</t>
  </si>
  <si>
    <t xml:space="preserve">Onboarding plan and context for Vanya (booking domain, API contracts)</t>
  </si>
  <si>
    <t xml:space="preserve">Demo of pages 1-3 to stakeholders</t>
  </si>
  <si>
    <t xml:space="preserve">Risk management for the Sprint 4 workload</t>
  </si>
  <si>
    <t xml:space="preserve">E7</t>
  </si>
  <si>
    <t xml:space="preserve">E7-S1</t>
  </si>
  <si>
    <t xml:space="preserve">As a patient, I want to select a service, date, and time, and book an appointment.</t>
  </si>
  <si>
    <t xml:space="preserve">Vanya joins the team</t>
  </si>
  <si>
    <t xml:space="preserve">Slot-booking API with transactional locking that prevents double booking</t>
  </si>
  <si>
    <t xml:space="preserve">Vanya</t>
  </si>
  <si>
    <t xml:space="preserve">Database-level lock/transaction mechanism during booking</t>
  </si>
  <si>
    <t xml:space="preserve">UI for selecting service/date/time and a "Book" button</t>
  </si>
  <si>
    <t xml:space="preserve">E7-S2</t>
  </si>
  <si>
    <t xml:space="preserve">As a patient, I want to receive an immediate confirmation after booking.</t>
  </si>
  <si>
    <t xml:space="preserve">In-app confirmation screen/message (no email/SMS)</t>
  </si>
  <si>
    <t xml:space="preserve">E8</t>
  </si>
  <si>
    <t xml:space="preserve">E8-S1</t>
  </si>
  <si>
    <t xml:space="preserve">As a patient, I want to view upcoming and past appointments, see appointment details, and cancel an appointment.</t>
  </si>
  <si>
    <t xml:space="preserve">API to view and cancel an appointment (patient)</t>
  </si>
  <si>
    <t xml:space="preserve">Patient's appointment list UI with a "Cancel" button</t>
  </si>
  <si>
    <t xml:space="preserve">E8-S2</t>
  </si>
  <si>
    <t xml:space="preserve">As a provider, I want to view my appointments and confirm or cancel them.</t>
  </si>
  <si>
    <t xml:space="preserve">Provider-side API: list of appointments, confirm/cancel</t>
  </si>
  <si>
    <t xml:space="preserve">Provider cabinet UI: "My appointments"</t>
  </si>
  <si>
    <t xml:space="preserve">E2-S5</t>
  </si>
  <si>
    <t xml:space="preserve">As a patient, I want to see my upcoming and past appointments in my profile, so that I have the full picture.</t>
  </si>
  <si>
    <t xml:space="preserve">Deferred from Sprint 1 - depends on the booking data model</t>
  </si>
  <si>
    <t xml:space="preserve">Endpoint to fetch the patient's list of appointments</t>
  </si>
  <si>
    <t xml:space="preserve">Appointment list UI ("Upcoming"/"Past" tabs)</t>
  </si>
  <si>
    <t xml:space="preserve">Logic to automatically hide booked/unavailable slots from search and booking</t>
  </si>
  <si>
    <t xml:space="preserve">Deferred from Sprint 2 - depends on booking data existing</t>
  </si>
  <si>
    <t xml:space="preserve">Support</t>
  </si>
  <si>
    <t xml:space="preserve">support</t>
  </si>
  <si>
    <t xml:space="preserve">Provide Vanya with domain context (User/Provider/Availability models) and code review for the integration</t>
  </si>
  <si>
    <t xml:space="preserve">Final testing of the license queue and account management</t>
  </si>
  <si>
    <t xml:space="preserve">Final infrastructure audit before release</t>
  </si>
  <si>
    <t xml:space="preserve">Final visual polish of the booking and confirmation screens</t>
  </si>
  <si>
    <t xml:space="preserve">Final MVP metrics dashboard (against the acceptance criterion)</t>
  </si>
  <si>
    <t xml:space="preserve">Full regression testing (Sprint 1-4)</t>
  </si>
  <si>
    <t xml:space="preserve">End-to-end testing of the booking flow</t>
  </si>
  <si>
    <t xml:space="preserve">User acceptance testing (UAT) against the acceptance criterion</t>
  </si>
  <si>
    <t xml:space="preserve">Sprint review &amp; retrospective, demo of the full MVP</t>
  </si>
  <si>
    <t xml:space="preserve">Release/deployment preparation</t>
  </si>
  <si>
    <t xml:space="preserve">Backlog</t>
  </si>
  <si>
    <t xml:space="preserve">E11</t>
  </si>
  <si>
    <t xml:space="preserve">e11-post-mvp</t>
  </si>
  <si>
    <t xml:space="preserve">Backlog item</t>
  </si>
  <si>
    <t xml:space="preserve">Clinic/hospital networks and a Hospital Admin role</t>
  </si>
  <si>
    <t xml:space="preserve">Not scheduled - Post-MVP / Future backlog</t>
  </si>
  <si>
    <t xml:space="preserve">Administrator management of appointment bookings</t>
  </si>
  <si>
    <t xml:space="preserve">Rescheduling an appointment as a separate feature</t>
  </si>
  <si>
    <t xml:space="preserve">Geolocation-based search/sorting by distance, interactive map</t>
  </si>
  <si>
    <t xml:space="preserve">Automated license verification via an external registry/API</t>
  </si>
  <si>
    <t xml:space="preserve">Email/SMS/push notifications</t>
  </si>
  <si>
    <t xml:space="preserve">Payments/billing</t>
  </si>
  <si>
    <t xml:space="preserve">Full legal compliance with HIPAA/GDPR (DPIA, signed BAAs)</t>
  </si>
  <si>
    <t xml:space="preserve">Reviews &amp; ratings, multilingual content, pregnancy timeline/checklist, midwife search, birth-center search</t>
  </si>
  <si>
    <t xml:space="preserve">Total</t>
  </si>
  <si>
    <t xml:space="preserve">LABELING SCHEME (for free Jira, where Task cannot have a Story as Parent)</t>
  </si>
  <si>
    <t xml:space="preserve">Every User Story gets a label in the form "{Epic}-S{n}" (e.g. E1-S1, E2-S3). Apply the same label to the Story issue AND to every Task/Sub-task that implements it. Set the Epic Link/Parent on both the Story and its Tasks to the SAME Epic (E1-E11). This lets you filter/group by label in the Backlog to see which Tasks belong to which Story, even though Jira Free has no direct Story-to-Task parent link.</t>
  </si>
  <si>
    <t xml:space="preserve">For E4 (Search &amp; Filtering) and E6 (Availability Management), several User Stories share the same implementation Tasks (they will be delivered together as one feature slice), so all of them carry one combined label: E4-S1 and E6-S1 respectively.</t>
  </si>
  <si>
    <t xml:space="preserve">Work streams that are not part of the original E1-E11 backlog (Design, Analytics, QA, PM, Integration, Support) use a simple domain label instead: design, analytics, qa, pm, integration, support. In Jira these can be modeled as small standalone Epics, or simply as Tasks with that label and no Epic Link.</t>
  </si>
  <si>
    <t xml:space="preserve">E11 (Post-MVP / Future backlog) items use a single shared label "e11-post-mvp" and are not assigned to any sprint.</t>
  </si>
  <si>
    <t xml:space="preserve">WORK-ASSIGNMENT ASSUMPTIONS</t>
  </si>
  <si>
    <t xml:space="preserve">1. Backend: Marika owns all backend work except the Appointment Booking domain (Epic E7) and the closely related parts of E8 and E2-S5 (viewing appointments) - that whole block is handed to Vanya, who joins the team in Sprint 4. In Sprint 4, Marika takes a supporting role: code review of the integration, final testing of already-built modules (E9, E10), and the final infrastructure audit.</t>
  </si>
  <si>
    <t xml:space="preserve">2. Frontend work is distributed between Yana and Yaroslav to balance workload as evenly as possible, both in total and per sprint, while keeping closely related tasks within the same feature together where practical (e.g. a Task and its own Sub-tasks stay with one owner). It is not a strict split by page or by "manage vs. discover" - either developer may pick up a task on any of the 4 pages if that keeps the load balanced.</t>
  </si>
  <si>
    <t xml:space="preserve">3. Story issues in the table have no personal assignee - they are the grouping level; the actual work and ownership are recorded at the Task/Sub-task level.</t>
  </si>
  <si>
    <t xml:space="preserve">4. All Epic names and User Story / Task / Sub-task wording for E1-E11 are quoted exactly from the source document "Backlog_and_Sitemap_EN.docx".</t>
  </si>
  <si>
    <t xml:space="preserve">SPRINT 1 REBALANCING (fix applied after review)</t>
  </si>
  <si>
    <t xml:space="preserve">An earlier version of this plan left Yaroslav unassigned in Sprint 1, overloaded Marika with 20 items, and gave Yana far more front-end work overall than Yaroslav (20 vs 9). This has been corrected in two ways. First, Yaroslav now starts building the Search &amp; Results and Provider Details page UI in Sprint 1 against mock data and the Sprint 1 wireframes (labels E4-S1/E5-S1), instead of waiting idle until their backend endpoints exist in Sprint 2; these are then wired to the live endpoints early in Sprint 2. Second, several Sprint 1 front-end tasks that do not need to stay with Yana for feature-cohesion reasons (the login form, the new-password form, and the patient's location/language/pregnancy-week fields) were reassigned to Yaroslav, bringing the front-end split to roughly 15 (Yana) / 14 (Yaroslav) overall, and 7/7 in Sprint 1 specifically. On the backend side, two lower-priority items have been pushed out of Sprint 1: the license-submission story E3-S3 now ships in Sprint 2 together with the E9-S1 license-review queue it depends on, and the password-reset story E1-S5's backend tasks move to Sprint 3, since password reset is not required for the core acceptance-criterion demo flow. Marika's Sprint 1 load drops from 20 to 14 items. Full parity across all sprints is not achievable while Marika remains the only backend developer through Sprint 3 - the goal here is a realistic, reduced front-loading rather than an artificial even split.</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</si>
</sst>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sz val="11"/>
      <name val="Arial"/>
      <family val="0"/>
      <charset val="1"/>
    </font>
    <font>
      <b val="true"/>
      <sz val="11"/>
      <name val="Arial"/>
      <family val="0"/>
      <charset val="1"/>
    </font>
  </fonts>
  <fills count="7">
    <fill>
      <patternFill patternType="none"/>
    </fill>
    <fill>
      <patternFill patternType="gray125"/>
    </fill>
    <fill>
      <patternFill patternType="solid">
        <fgColor rgb="FF1F4E5F"/>
        <bgColor rgb="FF333333"/>
      </patternFill>
    </fill>
    <fill>
      <patternFill patternType="solid">
        <fgColor rgb="FFFFFFFF"/>
        <bgColor rgb="FFF2F2F2"/>
      </patternFill>
    </fill>
    <fill>
      <patternFill patternType="solid">
        <fgColor rgb="FFDCE6F1"/>
        <bgColor rgb="FFF2F2F2"/>
      </patternFill>
    </fill>
    <fill>
      <patternFill patternType="solid">
        <fgColor rgb="FFF2F2F2"/>
        <bgColor rgb="FFFFFFFF"/>
      </patternFill>
    </fill>
    <fill>
      <patternFill patternType="solid">
        <fgColor rgb="FFFFF2CC"/>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center" vertical="top"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5" fillId="5" borderId="1" xfId="0" applyFont="true" applyBorder="true" applyAlignment="true" applyProtection="false">
      <alignment horizontal="center" vertical="top" textRotation="0" wrapText="tru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xf numFmtId="164" fontId="5" fillId="6" borderId="1" xfId="0" applyFont="true" applyBorder="true" applyAlignment="true" applyProtection="false">
      <alignment horizontal="center" vertical="top" textRotation="0" wrapText="true" indent="0" shrinkToFit="false"/>
      <protection locked="true" hidden="false"/>
    </xf>
    <xf numFmtId="164" fontId="5" fillId="6"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4E5F"/>
          <bgColor rgb="FF000000"/>
        </patternFill>
      </fill>
    </dxf>
    <dxf>
      <fill>
        <patternFill patternType="solid">
          <fgColor rgb="FFDCE6F1"/>
          <bgColor rgb="FF000000"/>
        </patternFill>
      </fill>
    </dxf>
    <dxf>
      <fill>
        <patternFill patternType="solid">
          <fgColor rgb="FFF2F2F2"/>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55"/>
    <col collapsed="false" customWidth="true" hidden="false" outlineLevel="0" max="4" min="4" style="0" width="48"/>
  </cols>
  <sheetData>
    <row r="1" customFormat="false" ht="19.5" hidden="false" customHeight="true" outlineLevel="0" collapsed="false">
      <c r="A1" s="1" t="s">
        <v>0</v>
      </c>
      <c r="B1" s="1" t="s">
        <v>1</v>
      </c>
      <c r="C1" s="1" t="s">
        <v>2</v>
      </c>
      <c r="D1" s="1" t="s">
        <v>3</v>
      </c>
    </row>
    <row r="2" customFormat="false" ht="45" hidden="false" customHeight="true" outlineLevel="0" collapsed="false">
      <c r="A2" s="2" t="s">
        <v>4</v>
      </c>
      <c r="B2" s="2" t="s">
        <v>5</v>
      </c>
      <c r="C2" s="2" t="s">
        <v>6</v>
      </c>
      <c r="D2" s="2" t="s">
        <v>7</v>
      </c>
    </row>
    <row r="3" customFormat="false" ht="45" hidden="false" customHeight="true" outlineLevel="0" collapsed="false">
      <c r="A3" s="2" t="s">
        <v>8</v>
      </c>
      <c r="B3" s="2" t="s">
        <v>9</v>
      </c>
      <c r="C3" s="2" t="s">
        <v>10</v>
      </c>
      <c r="D3" s="2" t="s">
        <v>11</v>
      </c>
    </row>
    <row r="4" customFormat="false" ht="45" hidden="false" customHeight="true" outlineLevel="0" collapsed="false">
      <c r="A4" s="2" t="s">
        <v>12</v>
      </c>
      <c r="B4" s="2" t="s">
        <v>13</v>
      </c>
      <c r="C4" s="2" t="s">
        <v>14</v>
      </c>
      <c r="D4" s="2" t="s">
        <v>15</v>
      </c>
    </row>
    <row r="5" customFormat="false" ht="45" hidden="false" customHeight="true" outlineLevel="0" collapsed="false">
      <c r="A5" s="2" t="s">
        <v>16</v>
      </c>
      <c r="B5" s="2" t="s">
        <v>17</v>
      </c>
      <c r="C5" s="2" t="s">
        <v>18</v>
      </c>
      <c r="D5" s="2" t="s">
        <v>19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5" min="3" style="0" width="11"/>
    <col collapsed="false" customWidth="true" hidden="false" outlineLevel="0" max="6" min="6" style="0" width="58"/>
    <col collapsed="false" customWidth="true" hidden="false" outlineLevel="0" max="7" min="7" style="0" width="12"/>
    <col collapsed="false" customWidth="true" hidden="false" outlineLevel="0" max="8" min="8" style="0" width="20"/>
    <col collapsed="false" customWidth="true" hidden="false" outlineLevel="0" max="9" min="9" style="0" width="34"/>
  </cols>
  <sheetData>
    <row r="1" customFormat="false" ht="19.5" hidden="false" customHeight="true" outlineLevel="0" collapsed="false">
      <c r="A1" s="3" t="s">
        <v>20</v>
      </c>
      <c r="B1" s="3" t="s">
        <v>0</v>
      </c>
      <c r="C1" s="3" t="s">
        <v>21</v>
      </c>
      <c r="D1" s="3" t="s">
        <v>22</v>
      </c>
      <c r="E1" s="3" t="s">
        <v>23</v>
      </c>
      <c r="F1" s="3" t="s">
        <v>24</v>
      </c>
      <c r="G1" s="3" t="s">
        <v>25</v>
      </c>
      <c r="H1" s="3" t="s">
        <v>26</v>
      </c>
      <c r="I1" s="3" t="s">
        <v>27</v>
      </c>
    </row>
    <row r="2" customFormat="false" ht="30" hidden="false" customHeight="true" outlineLevel="0" collapsed="false">
      <c r="A2" s="4" t="n">
        <v>1</v>
      </c>
      <c r="B2" s="4" t="s">
        <v>4</v>
      </c>
      <c r="C2" s="4" t="s">
        <v>28</v>
      </c>
      <c r="D2" s="4" t="s">
        <v>29</v>
      </c>
      <c r="E2" s="4" t="s">
        <v>30</v>
      </c>
      <c r="F2" s="5" t="s">
        <v>31</v>
      </c>
      <c r="G2" s="5" t="s">
        <v>32</v>
      </c>
      <c r="H2" s="5" t="s">
        <v>33</v>
      </c>
      <c r="I2" s="5"/>
    </row>
    <row r="3" customFormat="false" ht="30" hidden="false" customHeight="true" outlineLevel="0" collapsed="false">
      <c r="A3" s="4" t="n">
        <v>2</v>
      </c>
      <c r="B3" s="4" t="s">
        <v>4</v>
      </c>
      <c r="C3" s="4" t="s">
        <v>28</v>
      </c>
      <c r="D3" s="4" t="s">
        <v>29</v>
      </c>
      <c r="E3" s="4" t="s">
        <v>30</v>
      </c>
      <c r="F3" s="5" t="s">
        <v>34</v>
      </c>
      <c r="G3" s="5" t="s">
        <v>32</v>
      </c>
      <c r="H3" s="5" t="s">
        <v>33</v>
      </c>
      <c r="I3" s="5"/>
    </row>
    <row r="4" customFormat="false" ht="30" hidden="false" customHeight="true" outlineLevel="0" collapsed="false">
      <c r="A4" s="6" t="n">
        <v>3</v>
      </c>
      <c r="B4" s="6" t="s">
        <v>4</v>
      </c>
      <c r="C4" s="6" t="s">
        <v>35</v>
      </c>
      <c r="D4" s="6" t="s">
        <v>36</v>
      </c>
      <c r="E4" s="6" t="s">
        <v>37</v>
      </c>
      <c r="F4" s="7" t="s">
        <v>38</v>
      </c>
      <c r="G4" s="7"/>
      <c r="H4" s="7"/>
      <c r="I4" s="7"/>
    </row>
    <row r="5" customFormat="false" ht="30" hidden="false" customHeight="true" outlineLevel="0" collapsed="false">
      <c r="A5" s="4" t="n">
        <v>4</v>
      </c>
      <c r="B5" s="4" t="s">
        <v>4</v>
      </c>
      <c r="C5" s="4" t="s">
        <v>35</v>
      </c>
      <c r="D5" s="4" t="s">
        <v>36</v>
      </c>
      <c r="E5" s="4" t="s">
        <v>30</v>
      </c>
      <c r="F5" s="5" t="s">
        <v>39</v>
      </c>
      <c r="G5" s="5" t="s">
        <v>40</v>
      </c>
      <c r="H5" s="5" t="s">
        <v>41</v>
      </c>
      <c r="I5" s="5"/>
    </row>
    <row r="6" customFormat="false" ht="30" hidden="false" customHeight="true" outlineLevel="0" collapsed="false">
      <c r="A6" s="8" t="n">
        <v>5</v>
      </c>
      <c r="B6" s="8" t="s">
        <v>4</v>
      </c>
      <c r="C6" s="8" t="s">
        <v>35</v>
      </c>
      <c r="D6" s="8" t="s">
        <v>36</v>
      </c>
      <c r="E6" s="8" t="s">
        <v>42</v>
      </c>
      <c r="F6" s="9" t="s">
        <v>43</v>
      </c>
      <c r="G6" s="9" t="s">
        <v>40</v>
      </c>
      <c r="H6" s="9" t="s">
        <v>41</v>
      </c>
      <c r="I6" s="9"/>
    </row>
    <row r="7" customFormat="false" ht="30" hidden="false" customHeight="true" outlineLevel="0" collapsed="false">
      <c r="A7" s="8" t="n">
        <v>6</v>
      </c>
      <c r="B7" s="8" t="s">
        <v>4</v>
      </c>
      <c r="C7" s="8" t="s">
        <v>35</v>
      </c>
      <c r="D7" s="8" t="s">
        <v>36</v>
      </c>
      <c r="E7" s="8" t="s">
        <v>42</v>
      </c>
      <c r="F7" s="9" t="s">
        <v>44</v>
      </c>
      <c r="G7" s="9" t="s">
        <v>40</v>
      </c>
      <c r="H7" s="9" t="s">
        <v>41</v>
      </c>
      <c r="I7" s="9"/>
    </row>
    <row r="8" customFormat="false" ht="30" hidden="false" customHeight="true" outlineLevel="0" collapsed="false">
      <c r="A8" s="8" t="n">
        <v>7</v>
      </c>
      <c r="B8" s="8" t="s">
        <v>4</v>
      </c>
      <c r="C8" s="8" t="s">
        <v>35</v>
      </c>
      <c r="D8" s="8" t="s">
        <v>36</v>
      </c>
      <c r="E8" s="8" t="s">
        <v>42</v>
      </c>
      <c r="F8" s="9" t="s">
        <v>45</v>
      </c>
      <c r="G8" s="9" t="s">
        <v>40</v>
      </c>
      <c r="H8" s="9" t="s">
        <v>41</v>
      </c>
      <c r="I8" s="9"/>
    </row>
    <row r="9" customFormat="false" ht="30" hidden="false" customHeight="true" outlineLevel="0" collapsed="false">
      <c r="A9" s="4" t="n">
        <v>8</v>
      </c>
      <c r="B9" s="4" t="s">
        <v>4</v>
      </c>
      <c r="C9" s="4" t="s">
        <v>35</v>
      </c>
      <c r="D9" s="4" t="s">
        <v>36</v>
      </c>
      <c r="E9" s="4" t="s">
        <v>30</v>
      </c>
      <c r="F9" s="5" t="s">
        <v>46</v>
      </c>
      <c r="G9" s="5" t="s">
        <v>47</v>
      </c>
      <c r="H9" s="5" t="s">
        <v>48</v>
      </c>
      <c r="I9" s="5"/>
    </row>
    <row r="10" customFormat="false" ht="30" hidden="false" customHeight="true" outlineLevel="0" collapsed="false">
      <c r="A10" s="8" t="n">
        <v>9</v>
      </c>
      <c r="B10" s="8" t="s">
        <v>4</v>
      </c>
      <c r="C10" s="8" t="s">
        <v>35</v>
      </c>
      <c r="D10" s="8" t="s">
        <v>36</v>
      </c>
      <c r="E10" s="8" t="s">
        <v>42</v>
      </c>
      <c r="F10" s="9" t="s">
        <v>49</v>
      </c>
      <c r="G10" s="9" t="s">
        <v>47</v>
      </c>
      <c r="H10" s="9" t="s">
        <v>48</v>
      </c>
      <c r="I10" s="9"/>
    </row>
    <row r="11" customFormat="false" ht="30" hidden="false" customHeight="true" outlineLevel="0" collapsed="false">
      <c r="A11" s="8" t="n">
        <v>10</v>
      </c>
      <c r="B11" s="8" t="s">
        <v>4</v>
      </c>
      <c r="C11" s="8" t="s">
        <v>35</v>
      </c>
      <c r="D11" s="8" t="s">
        <v>36</v>
      </c>
      <c r="E11" s="8" t="s">
        <v>42</v>
      </c>
      <c r="F11" s="9" t="s">
        <v>50</v>
      </c>
      <c r="G11" s="9" t="s">
        <v>47</v>
      </c>
      <c r="H11" s="9" t="s">
        <v>48</v>
      </c>
      <c r="I11" s="9"/>
    </row>
    <row r="12" customFormat="false" ht="30" hidden="false" customHeight="true" outlineLevel="0" collapsed="false">
      <c r="A12" s="6" t="n">
        <v>11</v>
      </c>
      <c r="B12" s="6" t="s">
        <v>4</v>
      </c>
      <c r="C12" s="6" t="s">
        <v>35</v>
      </c>
      <c r="D12" s="6" t="s">
        <v>51</v>
      </c>
      <c r="E12" s="6" t="s">
        <v>37</v>
      </c>
      <c r="F12" s="7" t="s">
        <v>52</v>
      </c>
      <c r="G12" s="7"/>
      <c r="H12" s="7"/>
      <c r="I12" s="7"/>
    </row>
    <row r="13" customFormat="false" ht="30" hidden="false" customHeight="true" outlineLevel="0" collapsed="false">
      <c r="A13" s="4" t="n">
        <v>12</v>
      </c>
      <c r="B13" s="4" t="s">
        <v>4</v>
      </c>
      <c r="C13" s="4" t="s">
        <v>35</v>
      </c>
      <c r="D13" s="4" t="s">
        <v>51</v>
      </c>
      <c r="E13" s="4" t="s">
        <v>30</v>
      </c>
      <c r="F13" s="5" t="s">
        <v>53</v>
      </c>
      <c r="G13" s="5" t="s">
        <v>40</v>
      </c>
      <c r="H13" s="5" t="s">
        <v>41</v>
      </c>
      <c r="I13" s="5"/>
    </row>
    <row r="14" customFormat="false" ht="30" hidden="false" customHeight="true" outlineLevel="0" collapsed="false">
      <c r="A14" s="4" t="n">
        <v>13</v>
      </c>
      <c r="B14" s="4" t="s">
        <v>4</v>
      </c>
      <c r="C14" s="4" t="s">
        <v>35</v>
      </c>
      <c r="D14" s="4" t="s">
        <v>51</v>
      </c>
      <c r="E14" s="4" t="s">
        <v>30</v>
      </c>
      <c r="F14" s="5" t="s">
        <v>54</v>
      </c>
      <c r="G14" s="5" t="s">
        <v>47</v>
      </c>
      <c r="H14" s="5" t="s">
        <v>48</v>
      </c>
      <c r="I14" s="5"/>
    </row>
    <row r="15" customFormat="false" ht="30" hidden="false" customHeight="true" outlineLevel="0" collapsed="false">
      <c r="A15" s="6" t="n">
        <v>14</v>
      </c>
      <c r="B15" s="6" t="s">
        <v>4</v>
      </c>
      <c r="C15" s="6" t="s">
        <v>35</v>
      </c>
      <c r="D15" s="6" t="s">
        <v>55</v>
      </c>
      <c r="E15" s="6" t="s">
        <v>37</v>
      </c>
      <c r="F15" s="7" t="s">
        <v>56</v>
      </c>
      <c r="G15" s="7"/>
      <c r="H15" s="7"/>
      <c r="I15" s="7"/>
    </row>
    <row r="16" customFormat="false" ht="30" hidden="false" customHeight="true" outlineLevel="0" collapsed="false">
      <c r="A16" s="4" t="n">
        <v>15</v>
      </c>
      <c r="B16" s="4" t="s">
        <v>4</v>
      </c>
      <c r="C16" s="4" t="s">
        <v>35</v>
      </c>
      <c r="D16" s="4" t="s">
        <v>55</v>
      </c>
      <c r="E16" s="4" t="s">
        <v>30</v>
      </c>
      <c r="F16" s="5" t="s">
        <v>57</v>
      </c>
      <c r="G16" s="5" t="s">
        <v>40</v>
      </c>
      <c r="H16" s="5" t="s">
        <v>41</v>
      </c>
      <c r="I16" s="5"/>
    </row>
    <row r="17" customFormat="false" ht="30" hidden="false" customHeight="true" outlineLevel="0" collapsed="false">
      <c r="A17" s="8" t="n">
        <v>16</v>
      </c>
      <c r="B17" s="8" t="s">
        <v>4</v>
      </c>
      <c r="C17" s="8" t="s">
        <v>35</v>
      </c>
      <c r="D17" s="8" t="s">
        <v>55</v>
      </c>
      <c r="E17" s="8" t="s">
        <v>42</v>
      </c>
      <c r="F17" s="9" t="s">
        <v>58</v>
      </c>
      <c r="G17" s="9" t="s">
        <v>40</v>
      </c>
      <c r="H17" s="9" t="s">
        <v>41</v>
      </c>
      <c r="I17" s="9"/>
    </row>
    <row r="18" customFormat="false" ht="30" hidden="false" customHeight="true" outlineLevel="0" collapsed="false">
      <c r="A18" s="4" t="n">
        <v>17</v>
      </c>
      <c r="B18" s="4" t="s">
        <v>4</v>
      </c>
      <c r="C18" s="4" t="s">
        <v>35</v>
      </c>
      <c r="D18" s="4" t="s">
        <v>55</v>
      </c>
      <c r="E18" s="4" t="s">
        <v>30</v>
      </c>
      <c r="F18" s="5" t="s">
        <v>59</v>
      </c>
      <c r="G18" s="5" t="s">
        <v>60</v>
      </c>
      <c r="H18" s="5" t="s">
        <v>48</v>
      </c>
      <c r="I18" s="5"/>
    </row>
    <row r="19" customFormat="false" ht="30" hidden="false" customHeight="true" outlineLevel="0" collapsed="false">
      <c r="A19" s="6" t="n">
        <v>18</v>
      </c>
      <c r="B19" s="6" t="s">
        <v>4</v>
      </c>
      <c r="C19" s="6" t="s">
        <v>35</v>
      </c>
      <c r="D19" s="6" t="s">
        <v>61</v>
      </c>
      <c r="E19" s="6" t="s">
        <v>37</v>
      </c>
      <c r="F19" s="7" t="s">
        <v>62</v>
      </c>
      <c r="G19" s="7"/>
      <c r="H19" s="7"/>
      <c r="I19" s="7"/>
    </row>
    <row r="20" customFormat="false" ht="30" hidden="false" customHeight="true" outlineLevel="0" collapsed="false">
      <c r="A20" s="4" t="n">
        <v>19</v>
      </c>
      <c r="B20" s="4" t="s">
        <v>4</v>
      </c>
      <c r="C20" s="4" t="s">
        <v>35</v>
      </c>
      <c r="D20" s="4" t="s">
        <v>61</v>
      </c>
      <c r="E20" s="4" t="s">
        <v>30</v>
      </c>
      <c r="F20" s="5" t="s">
        <v>63</v>
      </c>
      <c r="G20" s="5" t="s">
        <v>40</v>
      </c>
      <c r="H20" s="5" t="s">
        <v>41</v>
      </c>
      <c r="I20" s="5"/>
    </row>
    <row r="21" customFormat="false" ht="30" hidden="false" customHeight="true" outlineLevel="0" collapsed="false">
      <c r="A21" s="6" t="n">
        <v>20</v>
      </c>
      <c r="B21" s="6" t="s">
        <v>4</v>
      </c>
      <c r="C21" s="6" t="s">
        <v>35</v>
      </c>
      <c r="D21" s="6" t="s">
        <v>64</v>
      </c>
      <c r="E21" s="6" t="s">
        <v>37</v>
      </c>
      <c r="F21" s="7" t="s">
        <v>65</v>
      </c>
      <c r="G21" s="7"/>
      <c r="H21" s="7"/>
      <c r="I21" s="7"/>
    </row>
    <row r="22" customFormat="false" ht="30" hidden="false" customHeight="true" outlineLevel="0" collapsed="false">
      <c r="A22" s="4" t="n">
        <v>21</v>
      </c>
      <c r="B22" s="4" t="s">
        <v>4</v>
      </c>
      <c r="C22" s="4" t="s">
        <v>35</v>
      </c>
      <c r="D22" s="4" t="s">
        <v>64</v>
      </c>
      <c r="E22" s="4" t="s">
        <v>30</v>
      </c>
      <c r="F22" s="5" t="s">
        <v>66</v>
      </c>
      <c r="G22" s="5" t="s">
        <v>60</v>
      </c>
      <c r="H22" s="5" t="s">
        <v>48</v>
      </c>
      <c r="I22" s="5" t="s">
        <v>67</v>
      </c>
    </row>
    <row r="23" customFormat="false" ht="30" hidden="false" customHeight="true" outlineLevel="0" collapsed="false">
      <c r="A23" s="6" t="n">
        <v>22</v>
      </c>
      <c r="B23" s="6" t="s">
        <v>4</v>
      </c>
      <c r="C23" s="6" t="s">
        <v>68</v>
      </c>
      <c r="D23" s="6" t="s">
        <v>69</v>
      </c>
      <c r="E23" s="6" t="s">
        <v>37</v>
      </c>
      <c r="F23" s="7" t="s">
        <v>70</v>
      </c>
      <c r="G23" s="7"/>
      <c r="H23" s="7"/>
      <c r="I23" s="7"/>
    </row>
    <row r="24" customFormat="false" ht="30" hidden="false" customHeight="true" outlineLevel="0" collapsed="false">
      <c r="A24" s="4" t="n">
        <v>23</v>
      </c>
      <c r="B24" s="4" t="s">
        <v>4</v>
      </c>
      <c r="C24" s="4" t="s">
        <v>68</v>
      </c>
      <c r="D24" s="4" t="s">
        <v>69</v>
      </c>
      <c r="E24" s="4" t="s">
        <v>30</v>
      </c>
      <c r="F24" s="5" t="s">
        <v>71</v>
      </c>
      <c r="G24" s="5" t="s">
        <v>40</v>
      </c>
      <c r="H24" s="5" t="s">
        <v>41</v>
      </c>
      <c r="I24" s="5"/>
    </row>
    <row r="25" customFormat="false" ht="30" hidden="false" customHeight="true" outlineLevel="0" collapsed="false">
      <c r="A25" s="4" t="n">
        <v>24</v>
      </c>
      <c r="B25" s="4" t="s">
        <v>4</v>
      </c>
      <c r="C25" s="4" t="s">
        <v>68</v>
      </c>
      <c r="D25" s="4" t="s">
        <v>69</v>
      </c>
      <c r="E25" s="4" t="s">
        <v>30</v>
      </c>
      <c r="F25" s="5" t="s">
        <v>72</v>
      </c>
      <c r="G25" s="5" t="s">
        <v>47</v>
      </c>
      <c r="H25" s="5" t="s">
        <v>48</v>
      </c>
      <c r="I25" s="5"/>
    </row>
    <row r="26" customFormat="false" ht="30" hidden="false" customHeight="true" outlineLevel="0" collapsed="false">
      <c r="A26" s="6" t="n">
        <v>25</v>
      </c>
      <c r="B26" s="6" t="s">
        <v>4</v>
      </c>
      <c r="C26" s="6" t="s">
        <v>68</v>
      </c>
      <c r="D26" s="6" t="s">
        <v>73</v>
      </c>
      <c r="E26" s="6" t="s">
        <v>37</v>
      </c>
      <c r="F26" s="7" t="s">
        <v>74</v>
      </c>
      <c r="G26" s="7"/>
      <c r="H26" s="7"/>
      <c r="I26" s="7"/>
    </row>
    <row r="27" customFormat="false" ht="30" hidden="false" customHeight="true" outlineLevel="0" collapsed="false">
      <c r="A27" s="4" t="n">
        <v>26</v>
      </c>
      <c r="B27" s="4" t="s">
        <v>4</v>
      </c>
      <c r="C27" s="4" t="s">
        <v>68</v>
      </c>
      <c r="D27" s="4" t="s">
        <v>73</v>
      </c>
      <c r="E27" s="4" t="s">
        <v>30</v>
      </c>
      <c r="F27" s="5" t="s">
        <v>75</v>
      </c>
      <c r="G27" s="5" t="s">
        <v>60</v>
      </c>
      <c r="H27" s="5" t="s">
        <v>48</v>
      </c>
      <c r="I27" s="5"/>
    </row>
    <row r="28" customFormat="false" ht="30" hidden="false" customHeight="true" outlineLevel="0" collapsed="false">
      <c r="A28" s="6" t="n">
        <v>27</v>
      </c>
      <c r="B28" s="6" t="s">
        <v>4</v>
      </c>
      <c r="C28" s="6" t="s">
        <v>68</v>
      </c>
      <c r="D28" s="6" t="s">
        <v>76</v>
      </c>
      <c r="E28" s="6" t="s">
        <v>37</v>
      </c>
      <c r="F28" s="7" t="s">
        <v>77</v>
      </c>
      <c r="G28" s="7"/>
      <c r="H28" s="7"/>
      <c r="I28" s="7"/>
    </row>
    <row r="29" customFormat="false" ht="30" hidden="false" customHeight="true" outlineLevel="0" collapsed="false">
      <c r="A29" s="4" t="n">
        <v>28</v>
      </c>
      <c r="B29" s="4" t="s">
        <v>4</v>
      </c>
      <c r="C29" s="4" t="s">
        <v>68</v>
      </c>
      <c r="D29" s="4" t="s">
        <v>76</v>
      </c>
      <c r="E29" s="4" t="s">
        <v>30</v>
      </c>
      <c r="F29" s="5" t="s">
        <v>78</v>
      </c>
      <c r="G29" s="5" t="s">
        <v>60</v>
      </c>
      <c r="H29" s="5" t="s">
        <v>48</v>
      </c>
      <c r="I29" s="5"/>
    </row>
    <row r="30" customFormat="false" ht="30" hidden="false" customHeight="true" outlineLevel="0" collapsed="false">
      <c r="A30" s="6" t="n">
        <v>29</v>
      </c>
      <c r="B30" s="6" t="s">
        <v>4</v>
      </c>
      <c r="C30" s="6" t="s">
        <v>68</v>
      </c>
      <c r="D30" s="6" t="s">
        <v>79</v>
      </c>
      <c r="E30" s="6" t="s">
        <v>37</v>
      </c>
      <c r="F30" s="7" t="s">
        <v>80</v>
      </c>
      <c r="G30" s="7"/>
      <c r="H30" s="7"/>
      <c r="I30" s="7"/>
    </row>
    <row r="31" customFormat="false" ht="30" hidden="false" customHeight="true" outlineLevel="0" collapsed="false">
      <c r="A31" s="4" t="n">
        <v>30</v>
      </c>
      <c r="B31" s="4" t="s">
        <v>4</v>
      </c>
      <c r="C31" s="4" t="s">
        <v>68</v>
      </c>
      <c r="D31" s="4" t="s">
        <v>79</v>
      </c>
      <c r="E31" s="4" t="s">
        <v>30</v>
      </c>
      <c r="F31" s="5" t="s">
        <v>81</v>
      </c>
      <c r="G31" s="5" t="s">
        <v>60</v>
      </c>
      <c r="H31" s="5" t="s">
        <v>48</v>
      </c>
      <c r="I31" s="5"/>
    </row>
    <row r="32" customFormat="false" ht="30" hidden="false" customHeight="true" outlineLevel="0" collapsed="false">
      <c r="A32" s="8" t="n">
        <v>31</v>
      </c>
      <c r="B32" s="8" t="s">
        <v>4</v>
      </c>
      <c r="C32" s="8" t="s">
        <v>68</v>
      </c>
      <c r="D32" s="8" t="s">
        <v>79</v>
      </c>
      <c r="E32" s="8" t="s">
        <v>42</v>
      </c>
      <c r="F32" s="9" t="s">
        <v>82</v>
      </c>
      <c r="G32" s="9" t="s">
        <v>83</v>
      </c>
      <c r="H32" s="9" t="s">
        <v>84</v>
      </c>
      <c r="I32" s="9"/>
    </row>
    <row r="33" customFormat="false" ht="30" hidden="false" customHeight="true" outlineLevel="0" collapsed="false">
      <c r="A33" s="6" t="n">
        <v>32</v>
      </c>
      <c r="B33" s="6" t="s">
        <v>4</v>
      </c>
      <c r="C33" s="6" t="s">
        <v>85</v>
      </c>
      <c r="D33" s="6" t="s">
        <v>86</v>
      </c>
      <c r="E33" s="6" t="s">
        <v>37</v>
      </c>
      <c r="F33" s="7" t="s">
        <v>87</v>
      </c>
      <c r="G33" s="7"/>
      <c r="H33" s="7"/>
      <c r="I33" s="7"/>
    </row>
    <row r="34" customFormat="false" ht="30" hidden="false" customHeight="true" outlineLevel="0" collapsed="false">
      <c r="A34" s="4" t="n">
        <v>33</v>
      </c>
      <c r="B34" s="4" t="s">
        <v>4</v>
      </c>
      <c r="C34" s="4" t="s">
        <v>85</v>
      </c>
      <c r="D34" s="4" t="s">
        <v>86</v>
      </c>
      <c r="E34" s="4" t="s">
        <v>30</v>
      </c>
      <c r="F34" s="5" t="s">
        <v>88</v>
      </c>
      <c r="G34" s="5" t="s">
        <v>40</v>
      </c>
      <c r="H34" s="5" t="s">
        <v>41</v>
      </c>
      <c r="I34" s="5"/>
    </row>
    <row r="35" customFormat="false" ht="30" hidden="false" customHeight="true" outlineLevel="0" collapsed="false">
      <c r="A35" s="4" t="n">
        <v>34</v>
      </c>
      <c r="B35" s="4" t="s">
        <v>4</v>
      </c>
      <c r="C35" s="4" t="s">
        <v>85</v>
      </c>
      <c r="D35" s="4" t="s">
        <v>86</v>
      </c>
      <c r="E35" s="4" t="s">
        <v>30</v>
      </c>
      <c r="F35" s="5" t="s">
        <v>89</v>
      </c>
      <c r="G35" s="5" t="s">
        <v>47</v>
      </c>
      <c r="H35" s="5" t="s">
        <v>48</v>
      </c>
      <c r="I35" s="5"/>
    </row>
    <row r="36" customFormat="false" ht="30" hidden="false" customHeight="true" outlineLevel="0" collapsed="false">
      <c r="A36" s="6" t="n">
        <v>35</v>
      </c>
      <c r="B36" s="6" t="s">
        <v>4</v>
      </c>
      <c r="C36" s="6" t="s">
        <v>85</v>
      </c>
      <c r="D36" s="6" t="s">
        <v>90</v>
      </c>
      <c r="E36" s="6" t="s">
        <v>37</v>
      </c>
      <c r="F36" s="7" t="s">
        <v>91</v>
      </c>
      <c r="G36" s="7"/>
      <c r="H36" s="7"/>
      <c r="I36" s="7"/>
    </row>
    <row r="37" customFormat="false" ht="30" hidden="false" customHeight="true" outlineLevel="0" collapsed="false">
      <c r="A37" s="4" t="n">
        <v>36</v>
      </c>
      <c r="B37" s="4" t="s">
        <v>4</v>
      </c>
      <c r="C37" s="4" t="s">
        <v>85</v>
      </c>
      <c r="D37" s="4" t="s">
        <v>90</v>
      </c>
      <c r="E37" s="4" t="s">
        <v>30</v>
      </c>
      <c r="F37" s="5" t="s">
        <v>92</v>
      </c>
      <c r="G37" s="5" t="s">
        <v>40</v>
      </c>
      <c r="H37" s="5" t="s">
        <v>41</v>
      </c>
      <c r="I37" s="5"/>
    </row>
    <row r="38" customFormat="false" ht="30" hidden="false" customHeight="true" outlineLevel="0" collapsed="false">
      <c r="A38" s="4" t="n">
        <v>37</v>
      </c>
      <c r="B38" s="4" t="s">
        <v>4</v>
      </c>
      <c r="C38" s="4" t="s">
        <v>85</v>
      </c>
      <c r="D38" s="4" t="s">
        <v>90</v>
      </c>
      <c r="E38" s="4" t="s">
        <v>30</v>
      </c>
      <c r="F38" s="5" t="s">
        <v>93</v>
      </c>
      <c r="G38" s="5" t="s">
        <v>47</v>
      </c>
      <c r="H38" s="5" t="s">
        <v>48</v>
      </c>
      <c r="I38" s="5"/>
    </row>
    <row r="39" customFormat="false" ht="30" hidden="false" customHeight="true" outlineLevel="0" collapsed="false">
      <c r="A39" s="4" t="n">
        <v>38</v>
      </c>
      <c r="B39" s="4" t="s">
        <v>4</v>
      </c>
      <c r="C39" s="4" t="s">
        <v>94</v>
      </c>
      <c r="D39" s="4" t="s">
        <v>95</v>
      </c>
      <c r="E39" s="4" t="s">
        <v>30</v>
      </c>
      <c r="F39" s="5" t="s">
        <v>96</v>
      </c>
      <c r="G39" s="5" t="s">
        <v>60</v>
      </c>
      <c r="H39" s="5" t="s">
        <v>48</v>
      </c>
      <c r="I39" s="5" t="s">
        <v>97</v>
      </c>
    </row>
    <row r="40" customFormat="false" ht="30" hidden="false" customHeight="true" outlineLevel="0" collapsed="false">
      <c r="A40" s="4" t="n">
        <v>39</v>
      </c>
      <c r="B40" s="4" t="s">
        <v>4</v>
      </c>
      <c r="C40" s="4" t="s">
        <v>98</v>
      </c>
      <c r="D40" s="4" t="s">
        <v>99</v>
      </c>
      <c r="E40" s="4" t="s">
        <v>30</v>
      </c>
      <c r="F40" s="5" t="s">
        <v>100</v>
      </c>
      <c r="G40" s="5" t="s">
        <v>60</v>
      </c>
      <c r="H40" s="5" t="s">
        <v>48</v>
      </c>
      <c r="I40" s="5" t="s">
        <v>97</v>
      </c>
    </row>
    <row r="41" customFormat="false" ht="30" hidden="false" customHeight="true" outlineLevel="0" collapsed="false">
      <c r="A41" s="6" t="n">
        <v>40</v>
      </c>
      <c r="B41" s="6" t="s">
        <v>4</v>
      </c>
      <c r="C41" s="6" t="s">
        <v>101</v>
      </c>
      <c r="D41" s="6" t="s">
        <v>102</v>
      </c>
      <c r="E41" s="6" t="s">
        <v>37</v>
      </c>
      <c r="F41" s="7" t="s">
        <v>103</v>
      </c>
      <c r="G41" s="7"/>
      <c r="H41" s="7"/>
      <c r="I41" s="7"/>
    </row>
    <row r="42" customFormat="false" ht="30" hidden="false" customHeight="true" outlineLevel="0" collapsed="false">
      <c r="A42" s="4" t="n">
        <v>41</v>
      </c>
      <c r="B42" s="4" t="s">
        <v>4</v>
      </c>
      <c r="C42" s="4" t="s">
        <v>101</v>
      </c>
      <c r="D42" s="4" t="s">
        <v>102</v>
      </c>
      <c r="E42" s="4" t="s">
        <v>30</v>
      </c>
      <c r="F42" s="5" t="s">
        <v>104</v>
      </c>
      <c r="G42" s="5" t="s">
        <v>40</v>
      </c>
      <c r="H42" s="5" t="s">
        <v>41</v>
      </c>
      <c r="I42" s="5"/>
    </row>
    <row r="43" customFormat="false" ht="30" hidden="false" customHeight="true" outlineLevel="0" collapsed="false">
      <c r="A43" s="6" t="n">
        <v>42</v>
      </c>
      <c r="B43" s="6" t="s">
        <v>4</v>
      </c>
      <c r="C43" s="6" t="s">
        <v>101</v>
      </c>
      <c r="D43" s="6" t="s">
        <v>105</v>
      </c>
      <c r="E43" s="6" t="s">
        <v>37</v>
      </c>
      <c r="F43" s="7" t="s">
        <v>106</v>
      </c>
      <c r="G43" s="7"/>
      <c r="H43" s="7"/>
      <c r="I43" s="7"/>
    </row>
    <row r="44" customFormat="false" ht="30" hidden="false" customHeight="true" outlineLevel="0" collapsed="false">
      <c r="A44" s="4" t="n">
        <v>43</v>
      </c>
      <c r="B44" s="4" t="s">
        <v>4</v>
      </c>
      <c r="C44" s="4" t="s">
        <v>101</v>
      </c>
      <c r="D44" s="4" t="s">
        <v>105</v>
      </c>
      <c r="E44" s="4" t="s">
        <v>30</v>
      </c>
      <c r="F44" s="5" t="s">
        <v>107</v>
      </c>
      <c r="G44" s="5" t="s">
        <v>40</v>
      </c>
      <c r="H44" s="5" t="s">
        <v>41</v>
      </c>
      <c r="I44" s="5"/>
    </row>
    <row r="45" customFormat="false" ht="30" hidden="false" customHeight="true" outlineLevel="0" collapsed="false">
      <c r="A45" s="6" t="n">
        <v>44</v>
      </c>
      <c r="B45" s="6" t="s">
        <v>4</v>
      </c>
      <c r="C45" s="6" t="s">
        <v>101</v>
      </c>
      <c r="D45" s="6" t="s">
        <v>108</v>
      </c>
      <c r="E45" s="6" t="s">
        <v>37</v>
      </c>
      <c r="F45" s="7" t="s">
        <v>109</v>
      </c>
      <c r="G45" s="7"/>
      <c r="H45" s="7"/>
      <c r="I45" s="7"/>
    </row>
    <row r="46" customFormat="false" ht="30" hidden="false" customHeight="true" outlineLevel="0" collapsed="false">
      <c r="A46" s="4" t="n">
        <v>45</v>
      </c>
      <c r="B46" s="4" t="s">
        <v>4</v>
      </c>
      <c r="C46" s="4" t="s">
        <v>101</v>
      </c>
      <c r="D46" s="4" t="s">
        <v>108</v>
      </c>
      <c r="E46" s="4" t="s">
        <v>30</v>
      </c>
      <c r="F46" s="5" t="s">
        <v>110</v>
      </c>
      <c r="G46" s="5" t="s">
        <v>40</v>
      </c>
      <c r="H46" s="5" t="s">
        <v>41</v>
      </c>
      <c r="I46" s="5"/>
    </row>
    <row r="47" customFormat="false" ht="30" hidden="false" customHeight="true" outlineLevel="0" collapsed="false">
      <c r="A47" s="4" t="n">
        <v>46</v>
      </c>
      <c r="B47" s="4" t="s">
        <v>4</v>
      </c>
      <c r="C47" s="4" t="s">
        <v>111</v>
      </c>
      <c r="D47" s="4" t="s">
        <v>112</v>
      </c>
      <c r="E47" s="4" t="s">
        <v>30</v>
      </c>
      <c r="F47" s="5" t="s">
        <v>113</v>
      </c>
      <c r="G47" s="5" t="s">
        <v>114</v>
      </c>
      <c r="H47" s="5" t="s">
        <v>115</v>
      </c>
      <c r="I47" s="5"/>
    </row>
    <row r="48" customFormat="false" ht="30" hidden="false" customHeight="true" outlineLevel="0" collapsed="false">
      <c r="A48" s="4" t="n">
        <v>47</v>
      </c>
      <c r="B48" s="4" t="s">
        <v>4</v>
      </c>
      <c r="C48" s="4" t="s">
        <v>116</v>
      </c>
      <c r="D48" s="4" t="s">
        <v>117</v>
      </c>
      <c r="E48" s="4" t="s">
        <v>30</v>
      </c>
      <c r="F48" s="5" t="s">
        <v>118</v>
      </c>
      <c r="G48" s="5" t="s">
        <v>119</v>
      </c>
      <c r="H48" s="5" t="s">
        <v>116</v>
      </c>
      <c r="I48" s="5"/>
    </row>
    <row r="49" customFormat="false" ht="30" hidden="false" customHeight="true" outlineLevel="0" collapsed="false">
      <c r="A49" s="4" t="n">
        <v>48</v>
      </c>
      <c r="B49" s="4" t="s">
        <v>4</v>
      </c>
      <c r="C49" s="4" t="s">
        <v>116</v>
      </c>
      <c r="D49" s="4" t="s">
        <v>117</v>
      </c>
      <c r="E49" s="4" t="s">
        <v>30</v>
      </c>
      <c r="F49" s="5" t="s">
        <v>120</v>
      </c>
      <c r="G49" s="5" t="s">
        <v>119</v>
      </c>
      <c r="H49" s="5" t="s">
        <v>116</v>
      </c>
      <c r="I49" s="5"/>
    </row>
    <row r="50" customFormat="false" ht="30" hidden="false" customHeight="true" outlineLevel="0" collapsed="false">
      <c r="A50" s="4" t="n">
        <v>49</v>
      </c>
      <c r="B50" s="4" t="s">
        <v>4</v>
      </c>
      <c r="C50" s="4" t="s">
        <v>116</v>
      </c>
      <c r="D50" s="4" t="s">
        <v>117</v>
      </c>
      <c r="E50" s="4" t="s">
        <v>30</v>
      </c>
      <c r="F50" s="5" t="s">
        <v>121</v>
      </c>
      <c r="G50" s="5" t="s">
        <v>119</v>
      </c>
      <c r="H50" s="5" t="s">
        <v>116</v>
      </c>
      <c r="I50" s="5"/>
    </row>
    <row r="51" customFormat="false" ht="30" hidden="false" customHeight="true" outlineLevel="0" collapsed="false">
      <c r="A51" s="4" t="n">
        <v>50</v>
      </c>
      <c r="B51" s="4" t="s">
        <v>4</v>
      </c>
      <c r="C51" s="4" t="s">
        <v>84</v>
      </c>
      <c r="D51" s="4" t="s">
        <v>122</v>
      </c>
      <c r="E51" s="4" t="s">
        <v>30</v>
      </c>
      <c r="F51" s="5" t="s">
        <v>123</v>
      </c>
      <c r="G51" s="5" t="s">
        <v>83</v>
      </c>
      <c r="H51" s="5" t="s">
        <v>84</v>
      </c>
      <c r="I51" s="5"/>
    </row>
    <row r="52" customFormat="false" ht="30" hidden="false" customHeight="true" outlineLevel="0" collapsed="false">
      <c r="A52" s="4" t="n">
        <v>51</v>
      </c>
      <c r="B52" s="4" t="s">
        <v>4</v>
      </c>
      <c r="C52" s="4" t="s">
        <v>84</v>
      </c>
      <c r="D52" s="4" t="s">
        <v>122</v>
      </c>
      <c r="E52" s="4" t="s">
        <v>30</v>
      </c>
      <c r="F52" s="5" t="s">
        <v>124</v>
      </c>
      <c r="G52" s="5" t="s">
        <v>83</v>
      </c>
      <c r="H52" s="5" t="s">
        <v>84</v>
      </c>
      <c r="I52" s="5"/>
    </row>
    <row r="53" customFormat="false" ht="30" hidden="false" customHeight="true" outlineLevel="0" collapsed="false">
      <c r="A53" s="6" t="n">
        <v>52</v>
      </c>
      <c r="B53" s="6" t="s">
        <v>8</v>
      </c>
      <c r="C53" s="6" t="s">
        <v>125</v>
      </c>
      <c r="D53" s="6" t="s">
        <v>126</v>
      </c>
      <c r="E53" s="6" t="s">
        <v>37</v>
      </c>
      <c r="F53" s="7" t="s">
        <v>127</v>
      </c>
      <c r="G53" s="7"/>
      <c r="H53" s="7"/>
      <c r="I53" s="7"/>
    </row>
    <row r="54" customFormat="false" ht="30" hidden="false" customHeight="true" outlineLevel="0" collapsed="false">
      <c r="A54" s="4" t="n">
        <v>53</v>
      </c>
      <c r="B54" s="4" t="s">
        <v>8</v>
      </c>
      <c r="C54" s="4" t="s">
        <v>125</v>
      </c>
      <c r="D54" s="4" t="s">
        <v>126</v>
      </c>
      <c r="E54" s="4" t="s">
        <v>30</v>
      </c>
      <c r="F54" s="5" t="s">
        <v>128</v>
      </c>
      <c r="G54" s="5" t="s">
        <v>40</v>
      </c>
      <c r="H54" s="5" t="s">
        <v>41</v>
      </c>
      <c r="I54" s="5"/>
    </row>
    <row r="55" customFormat="false" ht="30" hidden="false" customHeight="true" outlineLevel="0" collapsed="false">
      <c r="A55" s="4" t="n">
        <v>54</v>
      </c>
      <c r="B55" s="4" t="s">
        <v>8</v>
      </c>
      <c r="C55" s="4" t="s">
        <v>125</v>
      </c>
      <c r="D55" s="4" t="s">
        <v>126</v>
      </c>
      <c r="E55" s="4" t="s">
        <v>30</v>
      </c>
      <c r="F55" s="5" t="s">
        <v>129</v>
      </c>
      <c r="G55" s="5" t="s">
        <v>47</v>
      </c>
      <c r="H55" s="5" t="s">
        <v>48</v>
      </c>
      <c r="I55" s="5"/>
    </row>
    <row r="56" customFormat="false" ht="30" hidden="false" customHeight="true" outlineLevel="0" collapsed="false">
      <c r="A56" s="6" t="n">
        <v>55</v>
      </c>
      <c r="B56" s="6" t="s">
        <v>8</v>
      </c>
      <c r="C56" s="6" t="s">
        <v>85</v>
      </c>
      <c r="D56" s="6" t="s">
        <v>130</v>
      </c>
      <c r="E56" s="6" t="s">
        <v>37</v>
      </c>
      <c r="F56" s="7" t="s">
        <v>131</v>
      </c>
      <c r="G56" s="7"/>
      <c r="H56" s="7"/>
      <c r="I56" s="7" t="s">
        <v>132</v>
      </c>
    </row>
    <row r="57" customFormat="false" ht="30" hidden="false" customHeight="true" outlineLevel="0" collapsed="false">
      <c r="A57" s="4" t="n">
        <v>56</v>
      </c>
      <c r="B57" s="4" t="s">
        <v>8</v>
      </c>
      <c r="C57" s="4" t="s">
        <v>85</v>
      </c>
      <c r="D57" s="4" t="s">
        <v>130</v>
      </c>
      <c r="E57" s="4" t="s">
        <v>30</v>
      </c>
      <c r="F57" s="5" t="s">
        <v>133</v>
      </c>
      <c r="G57" s="5" t="s">
        <v>40</v>
      </c>
      <c r="H57" s="5" t="s">
        <v>41</v>
      </c>
      <c r="I57" s="5"/>
    </row>
    <row r="58" customFormat="false" ht="30" hidden="false" customHeight="true" outlineLevel="0" collapsed="false">
      <c r="A58" s="8" t="n">
        <v>57</v>
      </c>
      <c r="B58" s="8" t="s">
        <v>8</v>
      </c>
      <c r="C58" s="8" t="s">
        <v>85</v>
      </c>
      <c r="D58" s="8" t="s">
        <v>130</v>
      </c>
      <c r="E58" s="8" t="s">
        <v>42</v>
      </c>
      <c r="F58" s="9" t="s">
        <v>134</v>
      </c>
      <c r="G58" s="9" t="s">
        <v>40</v>
      </c>
      <c r="H58" s="9" t="s">
        <v>41</v>
      </c>
      <c r="I58" s="9"/>
    </row>
    <row r="59" customFormat="false" ht="30" hidden="false" customHeight="true" outlineLevel="0" collapsed="false">
      <c r="A59" s="4" t="n">
        <v>58</v>
      </c>
      <c r="B59" s="4" t="s">
        <v>8</v>
      </c>
      <c r="C59" s="4" t="s">
        <v>85</v>
      </c>
      <c r="D59" s="4" t="s">
        <v>130</v>
      </c>
      <c r="E59" s="4" t="s">
        <v>30</v>
      </c>
      <c r="F59" s="5" t="s">
        <v>135</v>
      </c>
      <c r="G59" s="5" t="s">
        <v>40</v>
      </c>
      <c r="H59" s="5" t="s">
        <v>41</v>
      </c>
      <c r="I59" s="5"/>
    </row>
    <row r="60" customFormat="false" ht="30" hidden="false" customHeight="true" outlineLevel="0" collapsed="false">
      <c r="A60" s="8" t="n">
        <v>59</v>
      </c>
      <c r="B60" s="8" t="s">
        <v>8</v>
      </c>
      <c r="C60" s="8" t="s">
        <v>85</v>
      </c>
      <c r="D60" s="8" t="s">
        <v>130</v>
      </c>
      <c r="E60" s="8" t="s">
        <v>42</v>
      </c>
      <c r="F60" s="9" t="s">
        <v>136</v>
      </c>
      <c r="G60" s="9" t="s">
        <v>40</v>
      </c>
      <c r="H60" s="9" t="s">
        <v>41</v>
      </c>
      <c r="I60" s="9"/>
    </row>
    <row r="61" customFormat="false" ht="30" hidden="false" customHeight="true" outlineLevel="0" collapsed="false">
      <c r="A61" s="6" t="n">
        <v>60</v>
      </c>
      <c r="B61" s="6" t="s">
        <v>8</v>
      </c>
      <c r="C61" s="6" t="s">
        <v>137</v>
      </c>
      <c r="D61" s="6" t="s">
        <v>138</v>
      </c>
      <c r="E61" s="6" t="s">
        <v>37</v>
      </c>
      <c r="F61" s="7" t="s">
        <v>139</v>
      </c>
      <c r="G61" s="7"/>
      <c r="H61" s="7"/>
      <c r="I61" s="7" t="s">
        <v>140</v>
      </c>
    </row>
    <row r="62" customFormat="false" ht="30" hidden="false" customHeight="true" outlineLevel="0" collapsed="false">
      <c r="A62" s="6" t="n">
        <v>61</v>
      </c>
      <c r="B62" s="6" t="s">
        <v>8</v>
      </c>
      <c r="C62" s="6" t="s">
        <v>137</v>
      </c>
      <c r="D62" s="6" t="s">
        <v>138</v>
      </c>
      <c r="E62" s="6" t="s">
        <v>37</v>
      </c>
      <c r="F62" s="7" t="s">
        <v>141</v>
      </c>
      <c r="G62" s="7"/>
      <c r="H62" s="7"/>
      <c r="I62" s="7"/>
    </row>
    <row r="63" customFormat="false" ht="30" hidden="false" customHeight="true" outlineLevel="0" collapsed="false">
      <c r="A63" s="6" t="n">
        <v>62</v>
      </c>
      <c r="B63" s="6" t="s">
        <v>8</v>
      </c>
      <c r="C63" s="6" t="s">
        <v>137</v>
      </c>
      <c r="D63" s="6" t="s">
        <v>138</v>
      </c>
      <c r="E63" s="6" t="s">
        <v>37</v>
      </c>
      <c r="F63" s="7" t="s">
        <v>142</v>
      </c>
      <c r="G63" s="7"/>
      <c r="H63" s="7"/>
      <c r="I63" s="7"/>
    </row>
    <row r="64" customFormat="false" ht="30" hidden="false" customHeight="true" outlineLevel="0" collapsed="false">
      <c r="A64" s="4" t="n">
        <v>63</v>
      </c>
      <c r="B64" s="4" t="s">
        <v>8</v>
      </c>
      <c r="C64" s="4" t="s">
        <v>137</v>
      </c>
      <c r="D64" s="4" t="s">
        <v>138</v>
      </c>
      <c r="E64" s="4" t="s">
        <v>30</v>
      </c>
      <c r="F64" s="5" t="s">
        <v>143</v>
      </c>
      <c r="G64" s="5" t="s">
        <v>40</v>
      </c>
      <c r="H64" s="5" t="s">
        <v>41</v>
      </c>
      <c r="I64" s="5"/>
    </row>
    <row r="65" customFormat="false" ht="30" hidden="false" customHeight="true" outlineLevel="0" collapsed="false">
      <c r="A65" s="4" t="n">
        <v>64</v>
      </c>
      <c r="B65" s="4" t="s">
        <v>8</v>
      </c>
      <c r="C65" s="4" t="s">
        <v>137</v>
      </c>
      <c r="D65" s="4" t="s">
        <v>138</v>
      </c>
      <c r="E65" s="4" t="s">
        <v>30</v>
      </c>
      <c r="F65" s="5" t="s">
        <v>144</v>
      </c>
      <c r="G65" s="5" t="s">
        <v>40</v>
      </c>
      <c r="H65" s="5" t="s">
        <v>41</v>
      </c>
      <c r="I65" s="5"/>
    </row>
    <row r="66" customFormat="false" ht="30" hidden="false" customHeight="true" outlineLevel="0" collapsed="false">
      <c r="A66" s="4" t="n">
        <v>65</v>
      </c>
      <c r="B66" s="4" t="s">
        <v>8</v>
      </c>
      <c r="C66" s="4" t="s">
        <v>137</v>
      </c>
      <c r="D66" s="4" t="s">
        <v>138</v>
      </c>
      <c r="E66" s="4" t="s">
        <v>30</v>
      </c>
      <c r="F66" s="5" t="s">
        <v>145</v>
      </c>
      <c r="G66" s="5" t="s">
        <v>47</v>
      </c>
      <c r="H66" s="5" t="s">
        <v>48</v>
      </c>
      <c r="I66" s="5"/>
    </row>
    <row r="67" customFormat="false" ht="30" hidden="false" customHeight="true" outlineLevel="0" collapsed="false">
      <c r="A67" s="6" t="n">
        <v>66</v>
      </c>
      <c r="B67" s="6" t="s">
        <v>8</v>
      </c>
      <c r="C67" s="6" t="s">
        <v>94</v>
      </c>
      <c r="D67" s="6" t="s">
        <v>95</v>
      </c>
      <c r="E67" s="6" t="s">
        <v>37</v>
      </c>
      <c r="F67" s="7" t="s">
        <v>146</v>
      </c>
      <c r="G67" s="7"/>
      <c r="H67" s="7"/>
      <c r="I67" s="7" t="s">
        <v>147</v>
      </c>
    </row>
    <row r="68" customFormat="false" ht="30" hidden="false" customHeight="true" outlineLevel="0" collapsed="false">
      <c r="A68" s="6" t="n">
        <v>67</v>
      </c>
      <c r="B68" s="6" t="s">
        <v>8</v>
      </c>
      <c r="C68" s="6" t="s">
        <v>94</v>
      </c>
      <c r="D68" s="6" t="s">
        <v>95</v>
      </c>
      <c r="E68" s="6" t="s">
        <v>37</v>
      </c>
      <c r="F68" s="7" t="s">
        <v>148</v>
      </c>
      <c r="G68" s="7"/>
      <c r="H68" s="7"/>
      <c r="I68" s="7"/>
    </row>
    <row r="69" customFormat="false" ht="30" hidden="false" customHeight="true" outlineLevel="0" collapsed="false">
      <c r="A69" s="6" t="n">
        <v>68</v>
      </c>
      <c r="B69" s="6" t="s">
        <v>8</v>
      </c>
      <c r="C69" s="6" t="s">
        <v>94</v>
      </c>
      <c r="D69" s="6" t="s">
        <v>95</v>
      </c>
      <c r="E69" s="6" t="s">
        <v>37</v>
      </c>
      <c r="F69" s="7" t="s">
        <v>149</v>
      </c>
      <c r="G69" s="7"/>
      <c r="H69" s="7"/>
      <c r="I69" s="7"/>
    </row>
    <row r="70" customFormat="false" ht="30" hidden="false" customHeight="true" outlineLevel="0" collapsed="false">
      <c r="A70" s="6" t="n">
        <v>69</v>
      </c>
      <c r="B70" s="6" t="s">
        <v>8</v>
      </c>
      <c r="C70" s="6" t="s">
        <v>94</v>
      </c>
      <c r="D70" s="6" t="s">
        <v>95</v>
      </c>
      <c r="E70" s="6" t="s">
        <v>37</v>
      </c>
      <c r="F70" s="7" t="s">
        <v>150</v>
      </c>
      <c r="G70" s="7"/>
      <c r="H70" s="7"/>
      <c r="I70" s="7"/>
    </row>
    <row r="71" customFormat="false" ht="30" hidden="false" customHeight="true" outlineLevel="0" collapsed="false">
      <c r="A71" s="4" t="n">
        <v>70</v>
      </c>
      <c r="B71" s="4" t="s">
        <v>8</v>
      </c>
      <c r="C71" s="4" t="s">
        <v>94</v>
      </c>
      <c r="D71" s="4" t="s">
        <v>95</v>
      </c>
      <c r="E71" s="4" t="s">
        <v>30</v>
      </c>
      <c r="F71" s="5" t="s">
        <v>151</v>
      </c>
      <c r="G71" s="5" t="s">
        <v>40</v>
      </c>
      <c r="H71" s="5" t="s">
        <v>41</v>
      </c>
      <c r="I71" s="5"/>
    </row>
    <row r="72" customFormat="false" ht="30" hidden="false" customHeight="true" outlineLevel="0" collapsed="false">
      <c r="A72" s="8" t="n">
        <v>71</v>
      </c>
      <c r="B72" s="8" t="s">
        <v>8</v>
      </c>
      <c r="C72" s="8" t="s">
        <v>94</v>
      </c>
      <c r="D72" s="8" t="s">
        <v>95</v>
      </c>
      <c r="E72" s="8" t="s">
        <v>42</v>
      </c>
      <c r="F72" s="9" t="s">
        <v>152</v>
      </c>
      <c r="G72" s="9" t="s">
        <v>40</v>
      </c>
      <c r="H72" s="9" t="s">
        <v>41</v>
      </c>
      <c r="I72" s="9"/>
    </row>
    <row r="73" customFormat="false" ht="30" hidden="false" customHeight="true" outlineLevel="0" collapsed="false">
      <c r="A73" s="4" t="n">
        <v>72</v>
      </c>
      <c r="B73" s="4" t="s">
        <v>8</v>
      </c>
      <c r="C73" s="4" t="s">
        <v>94</v>
      </c>
      <c r="D73" s="4" t="s">
        <v>95</v>
      </c>
      <c r="E73" s="4" t="s">
        <v>30</v>
      </c>
      <c r="F73" s="5" t="s">
        <v>153</v>
      </c>
      <c r="G73" s="5" t="s">
        <v>60</v>
      </c>
      <c r="H73" s="5" t="s">
        <v>48</v>
      </c>
      <c r="I73" s="5"/>
    </row>
    <row r="74" customFormat="false" ht="30" hidden="false" customHeight="true" outlineLevel="0" collapsed="false">
      <c r="A74" s="4" t="n">
        <v>73</v>
      </c>
      <c r="B74" s="4" t="s">
        <v>8</v>
      </c>
      <c r="C74" s="4" t="s">
        <v>94</v>
      </c>
      <c r="D74" s="4" t="s">
        <v>95</v>
      </c>
      <c r="E74" s="4" t="s">
        <v>30</v>
      </c>
      <c r="F74" s="5" t="s">
        <v>154</v>
      </c>
      <c r="G74" s="5" t="s">
        <v>60</v>
      </c>
      <c r="H74" s="5" t="s">
        <v>48</v>
      </c>
      <c r="I74" s="5" t="s">
        <v>155</v>
      </c>
    </row>
    <row r="75" customFormat="false" ht="30" hidden="false" customHeight="true" outlineLevel="0" collapsed="false">
      <c r="A75" s="6" t="n">
        <v>74</v>
      </c>
      <c r="B75" s="6" t="s">
        <v>8</v>
      </c>
      <c r="C75" s="6" t="s">
        <v>98</v>
      </c>
      <c r="D75" s="6" t="s">
        <v>99</v>
      </c>
      <c r="E75" s="6" t="s">
        <v>37</v>
      </c>
      <c r="F75" s="7" t="s">
        <v>156</v>
      </c>
      <c r="G75" s="7"/>
      <c r="H75" s="7"/>
      <c r="I75" s="7"/>
    </row>
    <row r="76" customFormat="false" ht="30" hidden="false" customHeight="true" outlineLevel="0" collapsed="false">
      <c r="A76" s="4" t="n">
        <v>75</v>
      </c>
      <c r="B76" s="4" t="s">
        <v>8</v>
      </c>
      <c r="C76" s="4" t="s">
        <v>98</v>
      </c>
      <c r="D76" s="4" t="s">
        <v>99</v>
      </c>
      <c r="E76" s="4" t="s">
        <v>30</v>
      </c>
      <c r="F76" s="5" t="s">
        <v>157</v>
      </c>
      <c r="G76" s="5" t="s">
        <v>40</v>
      </c>
      <c r="H76" s="5" t="s">
        <v>41</v>
      </c>
      <c r="I76" s="5"/>
    </row>
    <row r="77" customFormat="false" ht="30" hidden="false" customHeight="true" outlineLevel="0" collapsed="false">
      <c r="A77" s="4" t="n">
        <v>76</v>
      </c>
      <c r="B77" s="4" t="s">
        <v>8</v>
      </c>
      <c r="C77" s="4" t="s">
        <v>98</v>
      </c>
      <c r="D77" s="4" t="s">
        <v>99</v>
      </c>
      <c r="E77" s="4" t="s">
        <v>30</v>
      </c>
      <c r="F77" s="5" t="s">
        <v>158</v>
      </c>
      <c r="G77" s="5" t="s">
        <v>60</v>
      </c>
      <c r="H77" s="5" t="s">
        <v>48</v>
      </c>
      <c r="I77" s="5" t="s">
        <v>155</v>
      </c>
    </row>
    <row r="78" customFormat="false" ht="30" hidden="false" customHeight="true" outlineLevel="0" collapsed="false">
      <c r="A78" s="6" t="n">
        <v>77</v>
      </c>
      <c r="B78" s="6" t="s">
        <v>8</v>
      </c>
      <c r="C78" s="6" t="s">
        <v>101</v>
      </c>
      <c r="D78" s="6" t="s">
        <v>159</v>
      </c>
      <c r="E78" s="6" t="s">
        <v>37</v>
      </c>
      <c r="F78" s="7" t="s">
        <v>160</v>
      </c>
      <c r="G78" s="7"/>
      <c r="H78" s="7"/>
      <c r="I78" s="7"/>
    </row>
    <row r="79" customFormat="false" ht="30" hidden="false" customHeight="true" outlineLevel="0" collapsed="false">
      <c r="A79" s="4" t="n">
        <v>78</v>
      </c>
      <c r="B79" s="4" t="s">
        <v>8</v>
      </c>
      <c r="C79" s="4" t="s">
        <v>101</v>
      </c>
      <c r="D79" s="4" t="s">
        <v>159</v>
      </c>
      <c r="E79" s="4" t="s">
        <v>30</v>
      </c>
      <c r="F79" s="5" t="s">
        <v>161</v>
      </c>
      <c r="G79" s="5" t="s">
        <v>40</v>
      </c>
      <c r="H79" s="5" t="s">
        <v>41</v>
      </c>
      <c r="I79" s="5"/>
    </row>
    <row r="80" customFormat="false" ht="30" hidden="false" customHeight="true" outlineLevel="0" collapsed="false">
      <c r="A80" s="4" t="n">
        <v>79</v>
      </c>
      <c r="B80" s="4" t="s">
        <v>8</v>
      </c>
      <c r="C80" s="4" t="s">
        <v>101</v>
      </c>
      <c r="D80" s="4" t="s">
        <v>159</v>
      </c>
      <c r="E80" s="4" t="s">
        <v>30</v>
      </c>
      <c r="F80" s="5" t="s">
        <v>162</v>
      </c>
      <c r="G80" s="5" t="s">
        <v>40</v>
      </c>
      <c r="H80" s="5" t="s">
        <v>41</v>
      </c>
      <c r="I80" s="5"/>
    </row>
    <row r="81" customFormat="false" ht="30" hidden="false" customHeight="true" outlineLevel="0" collapsed="false">
      <c r="A81" s="4" t="n">
        <v>80</v>
      </c>
      <c r="B81" s="4" t="s">
        <v>8</v>
      </c>
      <c r="C81" s="4" t="s">
        <v>28</v>
      </c>
      <c r="D81" s="4" t="s">
        <v>29</v>
      </c>
      <c r="E81" s="4" t="s">
        <v>30</v>
      </c>
      <c r="F81" s="5" t="s">
        <v>163</v>
      </c>
      <c r="G81" s="5" t="s">
        <v>32</v>
      </c>
      <c r="H81" s="5" t="s">
        <v>33</v>
      </c>
      <c r="I81" s="5"/>
    </row>
    <row r="82" customFormat="false" ht="30" hidden="false" customHeight="true" outlineLevel="0" collapsed="false">
      <c r="A82" s="4" t="n">
        <v>81</v>
      </c>
      <c r="B82" s="4" t="s">
        <v>8</v>
      </c>
      <c r="C82" s="4" t="s">
        <v>111</v>
      </c>
      <c r="D82" s="4" t="s">
        <v>112</v>
      </c>
      <c r="E82" s="4" t="s">
        <v>30</v>
      </c>
      <c r="F82" s="5" t="s">
        <v>164</v>
      </c>
      <c r="G82" s="5" t="s">
        <v>114</v>
      </c>
      <c r="H82" s="5" t="s">
        <v>115</v>
      </c>
      <c r="I82" s="5"/>
    </row>
    <row r="83" customFormat="false" ht="30" hidden="false" customHeight="true" outlineLevel="0" collapsed="false">
      <c r="A83" s="4" t="n">
        <v>82</v>
      </c>
      <c r="B83" s="4" t="s">
        <v>8</v>
      </c>
      <c r="C83" s="4" t="s">
        <v>116</v>
      </c>
      <c r="D83" s="4" t="s">
        <v>117</v>
      </c>
      <c r="E83" s="4" t="s">
        <v>30</v>
      </c>
      <c r="F83" s="5" t="s">
        <v>165</v>
      </c>
      <c r="G83" s="5" t="s">
        <v>119</v>
      </c>
      <c r="H83" s="5" t="s">
        <v>116</v>
      </c>
      <c r="I83" s="5"/>
    </row>
    <row r="84" customFormat="false" ht="30" hidden="false" customHeight="true" outlineLevel="0" collapsed="false">
      <c r="A84" s="4" t="n">
        <v>83</v>
      </c>
      <c r="B84" s="4" t="s">
        <v>8</v>
      </c>
      <c r="C84" s="4" t="s">
        <v>116</v>
      </c>
      <c r="D84" s="4" t="s">
        <v>117</v>
      </c>
      <c r="E84" s="4" t="s">
        <v>30</v>
      </c>
      <c r="F84" s="5" t="s">
        <v>166</v>
      </c>
      <c r="G84" s="5" t="s">
        <v>119</v>
      </c>
      <c r="H84" s="5" t="s">
        <v>116</v>
      </c>
      <c r="I84" s="5"/>
    </row>
    <row r="85" customFormat="false" ht="30" hidden="false" customHeight="true" outlineLevel="0" collapsed="false">
      <c r="A85" s="4" t="n">
        <v>84</v>
      </c>
      <c r="B85" s="4" t="s">
        <v>8</v>
      </c>
      <c r="C85" s="4" t="s">
        <v>84</v>
      </c>
      <c r="D85" s="4" t="s">
        <v>122</v>
      </c>
      <c r="E85" s="4" t="s">
        <v>30</v>
      </c>
      <c r="F85" s="5" t="s">
        <v>167</v>
      </c>
      <c r="G85" s="5" t="s">
        <v>83</v>
      </c>
      <c r="H85" s="5" t="s">
        <v>84</v>
      </c>
      <c r="I85" s="5"/>
    </row>
    <row r="86" customFormat="false" ht="30" hidden="false" customHeight="true" outlineLevel="0" collapsed="false">
      <c r="A86" s="4" t="n">
        <v>85</v>
      </c>
      <c r="B86" s="4" t="s">
        <v>8</v>
      </c>
      <c r="C86" s="4" t="s">
        <v>84</v>
      </c>
      <c r="D86" s="4" t="s">
        <v>122</v>
      </c>
      <c r="E86" s="4" t="s">
        <v>30</v>
      </c>
      <c r="F86" s="5" t="s">
        <v>168</v>
      </c>
      <c r="G86" s="5" t="s">
        <v>83</v>
      </c>
      <c r="H86" s="5" t="s">
        <v>84</v>
      </c>
      <c r="I86" s="5"/>
    </row>
    <row r="87" customFormat="false" ht="30" hidden="false" customHeight="true" outlineLevel="0" collapsed="false">
      <c r="A87" s="6" t="n">
        <v>86</v>
      </c>
      <c r="B87" s="6" t="s">
        <v>12</v>
      </c>
      <c r="C87" s="6" t="s">
        <v>125</v>
      </c>
      <c r="D87" s="6" t="s">
        <v>169</v>
      </c>
      <c r="E87" s="6" t="s">
        <v>37</v>
      </c>
      <c r="F87" s="7" t="s">
        <v>170</v>
      </c>
      <c r="G87" s="7"/>
      <c r="H87" s="7"/>
      <c r="I87" s="7"/>
    </row>
    <row r="88" customFormat="false" ht="30" hidden="false" customHeight="true" outlineLevel="0" collapsed="false">
      <c r="A88" s="4" t="n">
        <v>87</v>
      </c>
      <c r="B88" s="4" t="s">
        <v>12</v>
      </c>
      <c r="C88" s="4" t="s">
        <v>125</v>
      </c>
      <c r="D88" s="4" t="s">
        <v>169</v>
      </c>
      <c r="E88" s="4" t="s">
        <v>30</v>
      </c>
      <c r="F88" s="5" t="s">
        <v>171</v>
      </c>
      <c r="G88" s="5" t="s">
        <v>40</v>
      </c>
      <c r="H88" s="5" t="s">
        <v>41</v>
      </c>
      <c r="I88" s="5"/>
    </row>
    <row r="89" customFormat="false" ht="30" hidden="false" customHeight="true" outlineLevel="0" collapsed="false">
      <c r="A89" s="4" t="n">
        <v>88</v>
      </c>
      <c r="B89" s="4" t="s">
        <v>12</v>
      </c>
      <c r="C89" s="4" t="s">
        <v>125</v>
      </c>
      <c r="D89" s="4" t="s">
        <v>169</v>
      </c>
      <c r="E89" s="4" t="s">
        <v>30</v>
      </c>
      <c r="F89" s="5" t="s">
        <v>172</v>
      </c>
      <c r="G89" s="5" t="s">
        <v>47</v>
      </c>
      <c r="H89" s="5" t="s">
        <v>48</v>
      </c>
      <c r="I89" s="5"/>
    </row>
    <row r="90" customFormat="false" ht="30" hidden="false" customHeight="true" outlineLevel="0" collapsed="false">
      <c r="A90" s="6" t="n">
        <v>89</v>
      </c>
      <c r="B90" s="6" t="s">
        <v>12</v>
      </c>
      <c r="C90" s="6" t="s">
        <v>101</v>
      </c>
      <c r="D90" s="6" t="s">
        <v>173</v>
      </c>
      <c r="E90" s="6" t="s">
        <v>37</v>
      </c>
      <c r="F90" s="7" t="s">
        <v>174</v>
      </c>
      <c r="G90" s="7"/>
      <c r="H90" s="7"/>
      <c r="I90" s="7"/>
    </row>
    <row r="91" customFormat="false" ht="30" hidden="false" customHeight="true" outlineLevel="0" collapsed="false">
      <c r="A91" s="4" t="n">
        <v>90</v>
      </c>
      <c r="B91" s="4" t="s">
        <v>12</v>
      </c>
      <c r="C91" s="4" t="s">
        <v>101</v>
      </c>
      <c r="D91" s="4" t="s">
        <v>173</v>
      </c>
      <c r="E91" s="4" t="s">
        <v>30</v>
      </c>
      <c r="F91" s="5" t="s">
        <v>175</v>
      </c>
      <c r="G91" s="5" t="s">
        <v>40</v>
      </c>
      <c r="H91" s="5" t="s">
        <v>41</v>
      </c>
      <c r="I91" s="5"/>
    </row>
    <row r="92" customFormat="false" ht="30" hidden="false" customHeight="true" outlineLevel="0" collapsed="false">
      <c r="A92" s="4" t="n">
        <v>91</v>
      </c>
      <c r="B92" s="4" t="s">
        <v>12</v>
      </c>
      <c r="C92" s="4" t="s">
        <v>101</v>
      </c>
      <c r="D92" s="4" t="s">
        <v>108</v>
      </c>
      <c r="E92" s="4" t="s">
        <v>30</v>
      </c>
      <c r="F92" s="5" t="s">
        <v>176</v>
      </c>
      <c r="G92" s="5" t="s">
        <v>40</v>
      </c>
      <c r="H92" s="5" t="s">
        <v>41</v>
      </c>
      <c r="I92" s="5" t="s">
        <v>177</v>
      </c>
    </row>
    <row r="93" customFormat="false" ht="30" hidden="false" customHeight="true" outlineLevel="0" collapsed="false">
      <c r="A93" s="4" t="n">
        <v>92</v>
      </c>
      <c r="B93" s="4" t="s">
        <v>12</v>
      </c>
      <c r="C93" s="4" t="s">
        <v>35</v>
      </c>
      <c r="D93" s="4" t="s">
        <v>64</v>
      </c>
      <c r="E93" s="4" t="s">
        <v>30</v>
      </c>
      <c r="F93" s="5" t="s">
        <v>178</v>
      </c>
      <c r="G93" s="5" t="s">
        <v>40</v>
      </c>
      <c r="H93" s="5" t="s">
        <v>41</v>
      </c>
      <c r="I93" s="5" t="s">
        <v>179</v>
      </c>
    </row>
    <row r="94" customFormat="false" ht="30" hidden="false" customHeight="true" outlineLevel="0" collapsed="false">
      <c r="A94" s="4" t="n">
        <v>93</v>
      </c>
      <c r="B94" s="4" t="s">
        <v>12</v>
      </c>
      <c r="C94" s="4" t="s">
        <v>35</v>
      </c>
      <c r="D94" s="4" t="s">
        <v>64</v>
      </c>
      <c r="E94" s="4" t="s">
        <v>30</v>
      </c>
      <c r="F94" s="5" t="s">
        <v>180</v>
      </c>
      <c r="G94" s="5" t="s">
        <v>40</v>
      </c>
      <c r="H94" s="5" t="s">
        <v>41</v>
      </c>
      <c r="I94" s="5" t="s">
        <v>179</v>
      </c>
    </row>
    <row r="95" customFormat="false" ht="30" hidden="false" customHeight="true" outlineLevel="0" collapsed="false">
      <c r="A95" s="4" t="n">
        <v>94</v>
      </c>
      <c r="B95" s="4" t="s">
        <v>12</v>
      </c>
      <c r="C95" s="4" t="s">
        <v>181</v>
      </c>
      <c r="D95" s="4" t="s">
        <v>182</v>
      </c>
      <c r="E95" s="4" t="s">
        <v>30</v>
      </c>
      <c r="F95" s="5" t="s">
        <v>183</v>
      </c>
      <c r="G95" s="5" t="s">
        <v>60</v>
      </c>
      <c r="H95" s="5" t="s">
        <v>48</v>
      </c>
      <c r="I95" s="5"/>
    </row>
    <row r="96" customFormat="false" ht="30" hidden="false" customHeight="true" outlineLevel="0" collapsed="false">
      <c r="A96" s="4" t="n">
        <v>95</v>
      </c>
      <c r="B96" s="4" t="s">
        <v>12</v>
      </c>
      <c r="C96" s="4" t="s">
        <v>181</v>
      </c>
      <c r="D96" s="4" t="s">
        <v>182</v>
      </c>
      <c r="E96" s="4" t="s">
        <v>30</v>
      </c>
      <c r="F96" s="5" t="s">
        <v>184</v>
      </c>
      <c r="G96" s="5" t="s">
        <v>47</v>
      </c>
      <c r="H96" s="5" t="s">
        <v>48</v>
      </c>
      <c r="I96" s="5"/>
    </row>
    <row r="97" customFormat="false" ht="30" hidden="false" customHeight="true" outlineLevel="0" collapsed="false">
      <c r="A97" s="4" t="n">
        <v>96</v>
      </c>
      <c r="B97" s="4" t="s">
        <v>12</v>
      </c>
      <c r="C97" s="4" t="s">
        <v>181</v>
      </c>
      <c r="D97" s="4" t="s">
        <v>182</v>
      </c>
      <c r="E97" s="4" t="s">
        <v>30</v>
      </c>
      <c r="F97" s="5" t="s">
        <v>185</v>
      </c>
      <c r="G97" s="5" t="s">
        <v>47</v>
      </c>
      <c r="H97" s="5" t="s">
        <v>48</v>
      </c>
      <c r="I97" s="5"/>
    </row>
    <row r="98" customFormat="false" ht="30" hidden="false" customHeight="true" outlineLevel="0" collapsed="false">
      <c r="A98" s="4" t="n">
        <v>97</v>
      </c>
      <c r="B98" s="4" t="s">
        <v>12</v>
      </c>
      <c r="C98" s="4" t="s">
        <v>181</v>
      </c>
      <c r="D98" s="4" t="s">
        <v>182</v>
      </c>
      <c r="E98" s="4" t="s">
        <v>30</v>
      </c>
      <c r="F98" s="5" t="s">
        <v>186</v>
      </c>
      <c r="G98" s="5" t="s">
        <v>60</v>
      </c>
      <c r="H98" s="5" t="s">
        <v>48</v>
      </c>
      <c r="I98" s="5"/>
    </row>
    <row r="99" customFormat="false" ht="30" hidden="false" customHeight="true" outlineLevel="0" collapsed="false">
      <c r="A99" s="4" t="n">
        <v>98</v>
      </c>
      <c r="B99" s="4" t="s">
        <v>12</v>
      </c>
      <c r="C99" s="4" t="s">
        <v>28</v>
      </c>
      <c r="D99" s="4" t="s">
        <v>29</v>
      </c>
      <c r="E99" s="4" t="s">
        <v>30</v>
      </c>
      <c r="F99" s="5" t="s">
        <v>187</v>
      </c>
      <c r="G99" s="5" t="s">
        <v>32</v>
      </c>
      <c r="H99" s="5" t="s">
        <v>33</v>
      </c>
      <c r="I99" s="5"/>
    </row>
    <row r="100" customFormat="false" ht="30" hidden="false" customHeight="true" outlineLevel="0" collapsed="false">
      <c r="A100" s="4" t="n">
        <v>99</v>
      </c>
      <c r="B100" s="4" t="s">
        <v>12</v>
      </c>
      <c r="C100" s="4" t="s">
        <v>28</v>
      </c>
      <c r="D100" s="4" t="s">
        <v>29</v>
      </c>
      <c r="E100" s="4" t="s">
        <v>30</v>
      </c>
      <c r="F100" s="5" t="s">
        <v>188</v>
      </c>
      <c r="G100" s="5" t="s">
        <v>32</v>
      </c>
      <c r="H100" s="5" t="s">
        <v>33</v>
      </c>
      <c r="I100" s="5"/>
    </row>
    <row r="101" customFormat="false" ht="30" hidden="false" customHeight="true" outlineLevel="0" collapsed="false">
      <c r="A101" s="4" t="n">
        <v>100</v>
      </c>
      <c r="B101" s="4" t="s">
        <v>12</v>
      </c>
      <c r="C101" s="4" t="s">
        <v>111</v>
      </c>
      <c r="D101" s="4" t="s">
        <v>112</v>
      </c>
      <c r="E101" s="4" t="s">
        <v>30</v>
      </c>
      <c r="F101" s="5" t="s">
        <v>189</v>
      </c>
      <c r="G101" s="5" t="s">
        <v>114</v>
      </c>
      <c r="H101" s="5" t="s">
        <v>115</v>
      </c>
      <c r="I101" s="5"/>
    </row>
    <row r="102" customFormat="false" ht="30" hidden="false" customHeight="true" outlineLevel="0" collapsed="false">
      <c r="A102" s="4" t="n">
        <v>101</v>
      </c>
      <c r="B102" s="4" t="s">
        <v>12</v>
      </c>
      <c r="C102" s="4" t="s">
        <v>116</v>
      </c>
      <c r="D102" s="4" t="s">
        <v>117</v>
      </c>
      <c r="E102" s="4" t="s">
        <v>30</v>
      </c>
      <c r="F102" s="5" t="s">
        <v>190</v>
      </c>
      <c r="G102" s="5" t="s">
        <v>119</v>
      </c>
      <c r="H102" s="5" t="s">
        <v>116</v>
      </c>
      <c r="I102" s="5"/>
    </row>
    <row r="103" customFormat="false" ht="30" hidden="false" customHeight="true" outlineLevel="0" collapsed="false">
      <c r="A103" s="4" t="n">
        <v>102</v>
      </c>
      <c r="B103" s="4" t="s">
        <v>12</v>
      </c>
      <c r="C103" s="4" t="s">
        <v>116</v>
      </c>
      <c r="D103" s="4" t="s">
        <v>117</v>
      </c>
      <c r="E103" s="4" t="s">
        <v>30</v>
      </c>
      <c r="F103" s="5" t="s">
        <v>191</v>
      </c>
      <c r="G103" s="5" t="s">
        <v>119</v>
      </c>
      <c r="H103" s="5" t="s">
        <v>116</v>
      </c>
      <c r="I103" s="5"/>
    </row>
    <row r="104" customFormat="false" ht="30" hidden="false" customHeight="true" outlineLevel="0" collapsed="false">
      <c r="A104" s="4" t="n">
        <v>103</v>
      </c>
      <c r="B104" s="4" t="s">
        <v>12</v>
      </c>
      <c r="C104" s="4" t="s">
        <v>116</v>
      </c>
      <c r="D104" s="4" t="s">
        <v>117</v>
      </c>
      <c r="E104" s="4" t="s">
        <v>30</v>
      </c>
      <c r="F104" s="5" t="s">
        <v>192</v>
      </c>
      <c r="G104" s="5" t="s">
        <v>119</v>
      </c>
      <c r="H104" s="5" t="s">
        <v>116</v>
      </c>
      <c r="I104" s="5"/>
    </row>
    <row r="105" customFormat="false" ht="30" hidden="false" customHeight="true" outlineLevel="0" collapsed="false">
      <c r="A105" s="4" t="n">
        <v>104</v>
      </c>
      <c r="B105" s="4" t="s">
        <v>12</v>
      </c>
      <c r="C105" s="4" t="s">
        <v>84</v>
      </c>
      <c r="D105" s="4" t="s">
        <v>122</v>
      </c>
      <c r="E105" s="4" t="s">
        <v>30</v>
      </c>
      <c r="F105" s="5" t="s">
        <v>193</v>
      </c>
      <c r="G105" s="5" t="s">
        <v>83</v>
      </c>
      <c r="H105" s="5" t="s">
        <v>84</v>
      </c>
      <c r="I105" s="5"/>
    </row>
    <row r="106" customFormat="false" ht="30" hidden="false" customHeight="true" outlineLevel="0" collapsed="false">
      <c r="A106" s="4" t="n">
        <v>105</v>
      </c>
      <c r="B106" s="4" t="s">
        <v>12</v>
      </c>
      <c r="C106" s="4" t="s">
        <v>84</v>
      </c>
      <c r="D106" s="4" t="s">
        <v>122</v>
      </c>
      <c r="E106" s="4" t="s">
        <v>30</v>
      </c>
      <c r="F106" s="5" t="s">
        <v>194</v>
      </c>
      <c r="G106" s="5" t="s">
        <v>83</v>
      </c>
      <c r="H106" s="5" t="s">
        <v>84</v>
      </c>
      <c r="I106" s="5"/>
    </row>
    <row r="107" customFormat="false" ht="30" hidden="false" customHeight="true" outlineLevel="0" collapsed="false">
      <c r="A107" s="4" t="n">
        <v>106</v>
      </c>
      <c r="B107" s="4" t="s">
        <v>12</v>
      </c>
      <c r="C107" s="4" t="s">
        <v>84</v>
      </c>
      <c r="D107" s="4" t="s">
        <v>122</v>
      </c>
      <c r="E107" s="4" t="s">
        <v>30</v>
      </c>
      <c r="F107" s="5" t="s">
        <v>195</v>
      </c>
      <c r="G107" s="5" t="s">
        <v>83</v>
      </c>
      <c r="H107" s="5" t="s">
        <v>84</v>
      </c>
      <c r="I107" s="5"/>
    </row>
    <row r="108" customFormat="false" ht="30" hidden="false" customHeight="true" outlineLevel="0" collapsed="false">
      <c r="A108" s="6" t="n">
        <v>107</v>
      </c>
      <c r="B108" s="6" t="s">
        <v>16</v>
      </c>
      <c r="C108" s="6" t="s">
        <v>196</v>
      </c>
      <c r="D108" s="6" t="s">
        <v>197</v>
      </c>
      <c r="E108" s="6" t="s">
        <v>37</v>
      </c>
      <c r="F108" s="7" t="s">
        <v>198</v>
      </c>
      <c r="G108" s="7"/>
      <c r="H108" s="7"/>
      <c r="I108" s="7" t="s">
        <v>199</v>
      </c>
    </row>
    <row r="109" customFormat="false" ht="30" hidden="false" customHeight="true" outlineLevel="0" collapsed="false">
      <c r="A109" s="4" t="n">
        <v>108</v>
      </c>
      <c r="B109" s="4" t="s">
        <v>16</v>
      </c>
      <c r="C109" s="4" t="s">
        <v>196</v>
      </c>
      <c r="D109" s="4" t="s">
        <v>197</v>
      </c>
      <c r="E109" s="4" t="s">
        <v>30</v>
      </c>
      <c r="F109" s="5" t="s">
        <v>200</v>
      </c>
      <c r="G109" s="5" t="s">
        <v>201</v>
      </c>
      <c r="H109" s="5" t="s">
        <v>41</v>
      </c>
      <c r="I109" s="5" t="s">
        <v>199</v>
      </c>
    </row>
    <row r="110" customFormat="false" ht="30" hidden="false" customHeight="true" outlineLevel="0" collapsed="false">
      <c r="A110" s="8" t="n">
        <v>109</v>
      </c>
      <c r="B110" s="8" t="s">
        <v>16</v>
      </c>
      <c r="C110" s="8" t="s">
        <v>196</v>
      </c>
      <c r="D110" s="8" t="s">
        <v>197</v>
      </c>
      <c r="E110" s="8" t="s">
        <v>42</v>
      </c>
      <c r="F110" s="9" t="s">
        <v>202</v>
      </c>
      <c r="G110" s="9" t="s">
        <v>201</v>
      </c>
      <c r="H110" s="9" t="s">
        <v>41</v>
      </c>
      <c r="I110" s="9"/>
    </row>
    <row r="111" customFormat="false" ht="30" hidden="false" customHeight="true" outlineLevel="0" collapsed="false">
      <c r="A111" s="4" t="n">
        <v>110</v>
      </c>
      <c r="B111" s="4" t="s">
        <v>16</v>
      </c>
      <c r="C111" s="4" t="s">
        <v>196</v>
      </c>
      <c r="D111" s="4" t="s">
        <v>197</v>
      </c>
      <c r="E111" s="4" t="s">
        <v>30</v>
      </c>
      <c r="F111" s="5" t="s">
        <v>203</v>
      </c>
      <c r="G111" s="5" t="s">
        <v>60</v>
      </c>
      <c r="H111" s="5" t="s">
        <v>48</v>
      </c>
      <c r="I111" s="5"/>
    </row>
    <row r="112" customFormat="false" ht="30" hidden="false" customHeight="true" outlineLevel="0" collapsed="false">
      <c r="A112" s="6" t="n">
        <v>111</v>
      </c>
      <c r="B112" s="6" t="s">
        <v>16</v>
      </c>
      <c r="C112" s="6" t="s">
        <v>196</v>
      </c>
      <c r="D112" s="6" t="s">
        <v>204</v>
      </c>
      <c r="E112" s="6" t="s">
        <v>37</v>
      </c>
      <c r="F112" s="7" t="s">
        <v>205</v>
      </c>
      <c r="G112" s="7"/>
      <c r="H112" s="7"/>
      <c r="I112" s="7"/>
    </row>
    <row r="113" customFormat="false" ht="30" hidden="false" customHeight="true" outlineLevel="0" collapsed="false">
      <c r="A113" s="4" t="n">
        <v>112</v>
      </c>
      <c r="B113" s="4" t="s">
        <v>16</v>
      </c>
      <c r="C113" s="4" t="s">
        <v>196</v>
      </c>
      <c r="D113" s="4" t="s">
        <v>204</v>
      </c>
      <c r="E113" s="4" t="s">
        <v>30</v>
      </c>
      <c r="F113" s="5" t="s">
        <v>206</v>
      </c>
      <c r="G113" s="5" t="s">
        <v>60</v>
      </c>
      <c r="H113" s="5" t="s">
        <v>48</v>
      </c>
      <c r="I113" s="5"/>
    </row>
    <row r="114" customFormat="false" ht="30" hidden="false" customHeight="true" outlineLevel="0" collapsed="false">
      <c r="A114" s="6" t="n">
        <v>113</v>
      </c>
      <c r="B114" s="6" t="s">
        <v>16</v>
      </c>
      <c r="C114" s="6" t="s">
        <v>207</v>
      </c>
      <c r="D114" s="6" t="s">
        <v>208</v>
      </c>
      <c r="E114" s="6" t="s">
        <v>37</v>
      </c>
      <c r="F114" s="7" t="s">
        <v>209</v>
      </c>
      <c r="G114" s="7"/>
      <c r="H114" s="7"/>
      <c r="I114" s="7"/>
    </row>
    <row r="115" customFormat="false" ht="30" hidden="false" customHeight="true" outlineLevel="0" collapsed="false">
      <c r="A115" s="4" t="n">
        <v>114</v>
      </c>
      <c r="B115" s="4" t="s">
        <v>16</v>
      </c>
      <c r="C115" s="4" t="s">
        <v>207</v>
      </c>
      <c r="D115" s="4" t="s">
        <v>208</v>
      </c>
      <c r="E115" s="4" t="s">
        <v>30</v>
      </c>
      <c r="F115" s="5" t="s">
        <v>210</v>
      </c>
      <c r="G115" s="5" t="s">
        <v>201</v>
      </c>
      <c r="H115" s="5" t="s">
        <v>41</v>
      </c>
      <c r="I115" s="5"/>
    </row>
    <row r="116" customFormat="false" ht="30" hidden="false" customHeight="true" outlineLevel="0" collapsed="false">
      <c r="A116" s="4" t="n">
        <v>115</v>
      </c>
      <c r="B116" s="4" t="s">
        <v>16</v>
      </c>
      <c r="C116" s="4" t="s">
        <v>207</v>
      </c>
      <c r="D116" s="4" t="s">
        <v>208</v>
      </c>
      <c r="E116" s="4" t="s">
        <v>30</v>
      </c>
      <c r="F116" s="5" t="s">
        <v>211</v>
      </c>
      <c r="G116" s="5" t="s">
        <v>47</v>
      </c>
      <c r="H116" s="5" t="s">
        <v>48</v>
      </c>
      <c r="I116" s="5"/>
    </row>
    <row r="117" customFormat="false" ht="30" hidden="false" customHeight="true" outlineLevel="0" collapsed="false">
      <c r="A117" s="6" t="n">
        <v>116</v>
      </c>
      <c r="B117" s="6" t="s">
        <v>16</v>
      </c>
      <c r="C117" s="6" t="s">
        <v>207</v>
      </c>
      <c r="D117" s="6" t="s">
        <v>212</v>
      </c>
      <c r="E117" s="6" t="s">
        <v>37</v>
      </c>
      <c r="F117" s="7" t="s">
        <v>213</v>
      </c>
      <c r="G117" s="7"/>
      <c r="H117" s="7"/>
      <c r="I117" s="7"/>
    </row>
    <row r="118" customFormat="false" ht="30" hidden="false" customHeight="true" outlineLevel="0" collapsed="false">
      <c r="A118" s="4" t="n">
        <v>117</v>
      </c>
      <c r="B118" s="4" t="s">
        <v>16</v>
      </c>
      <c r="C118" s="4" t="s">
        <v>207</v>
      </c>
      <c r="D118" s="4" t="s">
        <v>212</v>
      </c>
      <c r="E118" s="4" t="s">
        <v>30</v>
      </c>
      <c r="F118" s="5" t="s">
        <v>214</v>
      </c>
      <c r="G118" s="5" t="s">
        <v>201</v>
      </c>
      <c r="H118" s="5" t="s">
        <v>41</v>
      </c>
      <c r="I118" s="5"/>
    </row>
    <row r="119" customFormat="false" ht="30" hidden="false" customHeight="true" outlineLevel="0" collapsed="false">
      <c r="A119" s="4" t="n">
        <v>118</v>
      </c>
      <c r="B119" s="4" t="s">
        <v>16</v>
      </c>
      <c r="C119" s="4" t="s">
        <v>207</v>
      </c>
      <c r="D119" s="4" t="s">
        <v>212</v>
      </c>
      <c r="E119" s="4" t="s">
        <v>30</v>
      </c>
      <c r="F119" s="5" t="s">
        <v>215</v>
      </c>
      <c r="G119" s="5" t="s">
        <v>47</v>
      </c>
      <c r="H119" s="5" t="s">
        <v>48</v>
      </c>
      <c r="I119" s="5"/>
    </row>
    <row r="120" customFormat="false" ht="30" hidden="false" customHeight="true" outlineLevel="0" collapsed="false">
      <c r="A120" s="6" t="n">
        <v>119</v>
      </c>
      <c r="B120" s="6" t="s">
        <v>16</v>
      </c>
      <c r="C120" s="6" t="s">
        <v>68</v>
      </c>
      <c r="D120" s="6" t="s">
        <v>216</v>
      </c>
      <c r="E120" s="6" t="s">
        <v>37</v>
      </c>
      <c r="F120" s="7" t="s">
        <v>217</v>
      </c>
      <c r="G120" s="7"/>
      <c r="H120" s="7"/>
      <c r="I120" s="7" t="s">
        <v>218</v>
      </c>
    </row>
    <row r="121" customFormat="false" ht="30" hidden="false" customHeight="true" outlineLevel="0" collapsed="false">
      <c r="A121" s="4" t="n">
        <v>120</v>
      </c>
      <c r="B121" s="4" t="s">
        <v>16</v>
      </c>
      <c r="C121" s="4" t="s">
        <v>68</v>
      </c>
      <c r="D121" s="4" t="s">
        <v>216</v>
      </c>
      <c r="E121" s="4" t="s">
        <v>30</v>
      </c>
      <c r="F121" s="5" t="s">
        <v>219</v>
      </c>
      <c r="G121" s="5" t="s">
        <v>201</v>
      </c>
      <c r="H121" s="5" t="s">
        <v>41</v>
      </c>
      <c r="I121" s="5"/>
    </row>
    <row r="122" customFormat="false" ht="30" hidden="false" customHeight="true" outlineLevel="0" collapsed="false">
      <c r="A122" s="4" t="n">
        <v>121</v>
      </c>
      <c r="B122" s="4" t="s">
        <v>16</v>
      </c>
      <c r="C122" s="4" t="s">
        <v>68</v>
      </c>
      <c r="D122" s="4" t="s">
        <v>216</v>
      </c>
      <c r="E122" s="4" t="s">
        <v>30</v>
      </c>
      <c r="F122" s="5" t="s">
        <v>220</v>
      </c>
      <c r="G122" s="5" t="s">
        <v>47</v>
      </c>
      <c r="H122" s="5" t="s">
        <v>48</v>
      </c>
      <c r="I122" s="5"/>
    </row>
    <row r="123" customFormat="false" ht="30" hidden="false" customHeight="true" outlineLevel="0" collapsed="false">
      <c r="A123" s="4" t="n">
        <v>122</v>
      </c>
      <c r="B123" s="4" t="s">
        <v>16</v>
      </c>
      <c r="C123" s="4" t="s">
        <v>137</v>
      </c>
      <c r="D123" s="4" t="s">
        <v>138</v>
      </c>
      <c r="E123" s="4" t="s">
        <v>30</v>
      </c>
      <c r="F123" s="5" t="s">
        <v>221</v>
      </c>
      <c r="G123" s="5" t="s">
        <v>201</v>
      </c>
      <c r="H123" s="5" t="s">
        <v>41</v>
      </c>
      <c r="I123" s="5" t="s">
        <v>222</v>
      </c>
    </row>
    <row r="124" customFormat="false" ht="30" hidden="false" customHeight="true" outlineLevel="0" collapsed="false">
      <c r="A124" s="4" t="n">
        <v>123</v>
      </c>
      <c r="B124" s="4" t="s">
        <v>16</v>
      </c>
      <c r="C124" s="4" t="s">
        <v>223</v>
      </c>
      <c r="D124" s="4" t="s">
        <v>224</v>
      </c>
      <c r="E124" s="4" t="s">
        <v>30</v>
      </c>
      <c r="F124" s="5" t="s">
        <v>225</v>
      </c>
      <c r="G124" s="5" t="s">
        <v>40</v>
      </c>
      <c r="H124" s="5" t="s">
        <v>41</v>
      </c>
      <c r="I124" s="5"/>
    </row>
    <row r="125" customFormat="false" ht="30" hidden="false" customHeight="true" outlineLevel="0" collapsed="false">
      <c r="A125" s="4" t="n">
        <v>124</v>
      </c>
      <c r="B125" s="4" t="s">
        <v>16</v>
      </c>
      <c r="C125" s="4" t="s">
        <v>223</v>
      </c>
      <c r="D125" s="4" t="s">
        <v>224</v>
      </c>
      <c r="E125" s="4" t="s">
        <v>30</v>
      </c>
      <c r="F125" s="5" t="s">
        <v>226</v>
      </c>
      <c r="G125" s="5" t="s">
        <v>40</v>
      </c>
      <c r="H125" s="5" t="s">
        <v>41</v>
      </c>
      <c r="I125" s="5"/>
    </row>
    <row r="126" customFormat="false" ht="30" hidden="false" customHeight="true" outlineLevel="0" collapsed="false">
      <c r="A126" s="4" t="n">
        <v>125</v>
      </c>
      <c r="B126" s="4" t="s">
        <v>16</v>
      </c>
      <c r="C126" s="4" t="s">
        <v>223</v>
      </c>
      <c r="D126" s="4" t="s">
        <v>224</v>
      </c>
      <c r="E126" s="4" t="s">
        <v>30</v>
      </c>
      <c r="F126" s="5" t="s">
        <v>227</v>
      </c>
      <c r="G126" s="5" t="s">
        <v>40</v>
      </c>
      <c r="H126" s="5" t="s">
        <v>41</v>
      </c>
      <c r="I126" s="5"/>
    </row>
    <row r="127" customFormat="false" ht="30" hidden="false" customHeight="true" outlineLevel="0" collapsed="false">
      <c r="A127" s="4" t="n">
        <v>126</v>
      </c>
      <c r="B127" s="4" t="s">
        <v>16</v>
      </c>
      <c r="C127" s="4" t="s">
        <v>28</v>
      </c>
      <c r="D127" s="4" t="s">
        <v>29</v>
      </c>
      <c r="E127" s="4" t="s">
        <v>30</v>
      </c>
      <c r="F127" s="5" t="s">
        <v>228</v>
      </c>
      <c r="G127" s="5" t="s">
        <v>32</v>
      </c>
      <c r="H127" s="5" t="s">
        <v>33</v>
      </c>
      <c r="I127" s="5"/>
    </row>
    <row r="128" customFormat="false" ht="30" hidden="false" customHeight="true" outlineLevel="0" collapsed="false">
      <c r="A128" s="4" t="n">
        <v>127</v>
      </c>
      <c r="B128" s="4" t="s">
        <v>16</v>
      </c>
      <c r="C128" s="4" t="s">
        <v>111</v>
      </c>
      <c r="D128" s="4" t="s">
        <v>112</v>
      </c>
      <c r="E128" s="4" t="s">
        <v>30</v>
      </c>
      <c r="F128" s="5" t="s">
        <v>229</v>
      </c>
      <c r="G128" s="5" t="s">
        <v>114</v>
      </c>
      <c r="H128" s="5" t="s">
        <v>115</v>
      </c>
      <c r="I128" s="5"/>
    </row>
    <row r="129" customFormat="false" ht="30" hidden="false" customHeight="true" outlineLevel="0" collapsed="false">
      <c r="A129" s="4" t="n">
        <v>128</v>
      </c>
      <c r="B129" s="4" t="s">
        <v>16</v>
      </c>
      <c r="C129" s="4" t="s">
        <v>116</v>
      </c>
      <c r="D129" s="4" t="s">
        <v>117</v>
      </c>
      <c r="E129" s="4" t="s">
        <v>30</v>
      </c>
      <c r="F129" s="5" t="s">
        <v>230</v>
      </c>
      <c r="G129" s="5" t="s">
        <v>119</v>
      </c>
      <c r="H129" s="5" t="s">
        <v>116</v>
      </c>
      <c r="I129" s="5"/>
    </row>
    <row r="130" customFormat="false" ht="30" hidden="false" customHeight="true" outlineLevel="0" collapsed="false">
      <c r="A130" s="4" t="n">
        <v>129</v>
      </c>
      <c r="B130" s="4" t="s">
        <v>16</v>
      </c>
      <c r="C130" s="4" t="s">
        <v>116</v>
      </c>
      <c r="D130" s="4" t="s">
        <v>117</v>
      </c>
      <c r="E130" s="4" t="s">
        <v>30</v>
      </c>
      <c r="F130" s="5" t="s">
        <v>231</v>
      </c>
      <c r="G130" s="5" t="s">
        <v>119</v>
      </c>
      <c r="H130" s="5" t="s">
        <v>116</v>
      </c>
      <c r="I130" s="5"/>
    </row>
    <row r="131" customFormat="false" ht="30" hidden="false" customHeight="true" outlineLevel="0" collapsed="false">
      <c r="A131" s="4" t="n">
        <v>130</v>
      </c>
      <c r="B131" s="4" t="s">
        <v>16</v>
      </c>
      <c r="C131" s="4" t="s">
        <v>116</v>
      </c>
      <c r="D131" s="4" t="s">
        <v>117</v>
      </c>
      <c r="E131" s="4" t="s">
        <v>30</v>
      </c>
      <c r="F131" s="5" t="s">
        <v>232</v>
      </c>
      <c r="G131" s="5" t="s">
        <v>119</v>
      </c>
      <c r="H131" s="5" t="s">
        <v>116</v>
      </c>
      <c r="I131" s="5"/>
    </row>
    <row r="132" customFormat="false" ht="30" hidden="false" customHeight="true" outlineLevel="0" collapsed="false">
      <c r="A132" s="4" t="n">
        <v>131</v>
      </c>
      <c r="B132" s="4" t="s">
        <v>16</v>
      </c>
      <c r="C132" s="4" t="s">
        <v>84</v>
      </c>
      <c r="D132" s="4" t="s">
        <v>122</v>
      </c>
      <c r="E132" s="4" t="s">
        <v>30</v>
      </c>
      <c r="F132" s="5" t="s">
        <v>233</v>
      </c>
      <c r="G132" s="5" t="s">
        <v>83</v>
      </c>
      <c r="H132" s="5" t="s">
        <v>84</v>
      </c>
      <c r="I132" s="5"/>
    </row>
    <row r="133" customFormat="false" ht="30" hidden="false" customHeight="true" outlineLevel="0" collapsed="false">
      <c r="A133" s="4" t="n">
        <v>132</v>
      </c>
      <c r="B133" s="4" t="s">
        <v>16</v>
      </c>
      <c r="C133" s="4" t="s">
        <v>84</v>
      </c>
      <c r="D133" s="4" t="s">
        <v>122</v>
      </c>
      <c r="E133" s="4" t="s">
        <v>30</v>
      </c>
      <c r="F133" s="5" t="s">
        <v>234</v>
      </c>
      <c r="G133" s="5" t="s">
        <v>83</v>
      </c>
      <c r="H133" s="5" t="s">
        <v>84</v>
      </c>
      <c r="I133" s="5"/>
    </row>
    <row r="134" customFormat="false" ht="30" hidden="false" customHeight="true" outlineLevel="0" collapsed="false">
      <c r="A134" s="10" t="n">
        <v>133</v>
      </c>
      <c r="B134" s="10" t="s">
        <v>235</v>
      </c>
      <c r="C134" s="10" t="s">
        <v>236</v>
      </c>
      <c r="D134" s="10" t="s">
        <v>237</v>
      </c>
      <c r="E134" s="10" t="s">
        <v>238</v>
      </c>
      <c r="F134" s="11" t="s">
        <v>239</v>
      </c>
      <c r="G134" s="11"/>
      <c r="H134" s="11"/>
      <c r="I134" s="11" t="s">
        <v>240</v>
      </c>
    </row>
    <row r="135" customFormat="false" ht="30" hidden="false" customHeight="true" outlineLevel="0" collapsed="false">
      <c r="A135" s="10" t="n">
        <v>134</v>
      </c>
      <c r="B135" s="10" t="s">
        <v>235</v>
      </c>
      <c r="C135" s="10" t="s">
        <v>236</v>
      </c>
      <c r="D135" s="10" t="s">
        <v>237</v>
      </c>
      <c r="E135" s="10" t="s">
        <v>238</v>
      </c>
      <c r="F135" s="11" t="s">
        <v>241</v>
      </c>
      <c r="G135" s="11"/>
      <c r="H135" s="11"/>
      <c r="I135" s="11" t="s">
        <v>240</v>
      </c>
    </row>
    <row r="136" customFormat="false" ht="30" hidden="false" customHeight="true" outlineLevel="0" collapsed="false">
      <c r="A136" s="10" t="n">
        <v>135</v>
      </c>
      <c r="B136" s="10" t="s">
        <v>235</v>
      </c>
      <c r="C136" s="10" t="s">
        <v>236</v>
      </c>
      <c r="D136" s="10" t="s">
        <v>237</v>
      </c>
      <c r="E136" s="10" t="s">
        <v>238</v>
      </c>
      <c r="F136" s="11" t="s">
        <v>242</v>
      </c>
      <c r="G136" s="11"/>
      <c r="H136" s="11"/>
      <c r="I136" s="11" t="s">
        <v>240</v>
      </c>
    </row>
    <row r="137" customFormat="false" ht="30" hidden="false" customHeight="true" outlineLevel="0" collapsed="false">
      <c r="A137" s="10" t="n">
        <v>136</v>
      </c>
      <c r="B137" s="10" t="s">
        <v>235</v>
      </c>
      <c r="C137" s="10" t="s">
        <v>236</v>
      </c>
      <c r="D137" s="10" t="s">
        <v>237</v>
      </c>
      <c r="E137" s="10" t="s">
        <v>238</v>
      </c>
      <c r="F137" s="11" t="s">
        <v>243</v>
      </c>
      <c r="G137" s="11"/>
      <c r="H137" s="11"/>
      <c r="I137" s="11" t="s">
        <v>240</v>
      </c>
    </row>
    <row r="138" customFormat="false" ht="30" hidden="false" customHeight="true" outlineLevel="0" collapsed="false">
      <c r="A138" s="10" t="n">
        <v>137</v>
      </c>
      <c r="B138" s="10" t="s">
        <v>235</v>
      </c>
      <c r="C138" s="10" t="s">
        <v>236</v>
      </c>
      <c r="D138" s="10" t="s">
        <v>237</v>
      </c>
      <c r="E138" s="10" t="s">
        <v>238</v>
      </c>
      <c r="F138" s="11" t="s">
        <v>244</v>
      </c>
      <c r="G138" s="11"/>
      <c r="H138" s="11"/>
      <c r="I138" s="11" t="s">
        <v>240</v>
      </c>
    </row>
    <row r="139" customFormat="false" ht="30" hidden="false" customHeight="true" outlineLevel="0" collapsed="false">
      <c r="A139" s="10" t="n">
        <v>138</v>
      </c>
      <c r="B139" s="10" t="s">
        <v>235</v>
      </c>
      <c r="C139" s="10" t="s">
        <v>236</v>
      </c>
      <c r="D139" s="10" t="s">
        <v>237</v>
      </c>
      <c r="E139" s="10" t="s">
        <v>238</v>
      </c>
      <c r="F139" s="11" t="s">
        <v>245</v>
      </c>
      <c r="G139" s="11"/>
      <c r="H139" s="11"/>
      <c r="I139" s="11" t="s">
        <v>240</v>
      </c>
    </row>
    <row r="140" customFormat="false" ht="30" hidden="false" customHeight="true" outlineLevel="0" collapsed="false">
      <c r="A140" s="10" t="n">
        <v>139</v>
      </c>
      <c r="B140" s="10" t="s">
        <v>235</v>
      </c>
      <c r="C140" s="10" t="s">
        <v>236</v>
      </c>
      <c r="D140" s="10" t="s">
        <v>237</v>
      </c>
      <c r="E140" s="10" t="s">
        <v>238</v>
      </c>
      <c r="F140" s="11" t="s">
        <v>246</v>
      </c>
      <c r="G140" s="11"/>
      <c r="H140" s="11"/>
      <c r="I140" s="11" t="s">
        <v>240</v>
      </c>
    </row>
    <row r="141" customFormat="false" ht="30" hidden="false" customHeight="true" outlineLevel="0" collapsed="false">
      <c r="A141" s="10" t="n">
        <v>140</v>
      </c>
      <c r="B141" s="10" t="s">
        <v>235</v>
      </c>
      <c r="C141" s="10" t="s">
        <v>236</v>
      </c>
      <c r="D141" s="10" t="s">
        <v>237</v>
      </c>
      <c r="E141" s="10" t="s">
        <v>238</v>
      </c>
      <c r="F141" s="11" t="s">
        <v>247</v>
      </c>
      <c r="G141" s="11"/>
      <c r="H141" s="11"/>
      <c r="I141" s="11" t="s">
        <v>240</v>
      </c>
    </row>
    <row r="142" customFormat="false" ht="30" hidden="false" customHeight="true" outlineLevel="0" collapsed="false">
      <c r="A142" s="10" t="n">
        <v>141</v>
      </c>
      <c r="B142" s="10" t="s">
        <v>235</v>
      </c>
      <c r="C142" s="10" t="s">
        <v>236</v>
      </c>
      <c r="D142" s="10" t="s">
        <v>237</v>
      </c>
      <c r="E142" s="10" t="s">
        <v>238</v>
      </c>
      <c r="F142" s="11" t="s">
        <v>248</v>
      </c>
      <c r="G142" s="11"/>
      <c r="H142" s="11"/>
      <c r="I142" s="11" t="s">
        <v>240</v>
      </c>
    </row>
  </sheetData>
  <autoFilter ref="A1:I142"/>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7" min="3" style="0" width="10"/>
  </cols>
  <sheetData>
    <row r="1" customFormat="false" ht="15" hidden="false" customHeight="false" outlineLevel="0" collapsed="false">
      <c r="A1" s="3" t="s">
        <v>25</v>
      </c>
      <c r="B1" s="3" t="s">
        <v>26</v>
      </c>
      <c r="C1" s="3" t="s">
        <v>4</v>
      </c>
      <c r="D1" s="3" t="s">
        <v>8</v>
      </c>
      <c r="E1" s="3" t="s">
        <v>12</v>
      </c>
      <c r="F1" s="3" t="s">
        <v>16</v>
      </c>
      <c r="G1" s="3" t="s">
        <v>249</v>
      </c>
    </row>
    <row r="2" customFormat="false" ht="15" hidden="false" customHeight="false" outlineLevel="0" collapsed="false">
      <c r="A2" s="12" t="s">
        <v>83</v>
      </c>
      <c r="B2" s="12" t="s">
        <v>84</v>
      </c>
      <c r="C2" s="12" t="n">
        <f aca="false">COUNTIFS('Sprint Backlog'!$B$2:$B$142,"Sprint 1",'Sprint Backlog'!$G$2:$G$142,"Anna")</f>
        <v>3</v>
      </c>
      <c r="D2" s="12" t="n">
        <f aca="false">COUNTIFS('Sprint Backlog'!$B$2:$B$142,"Sprint 2",'Sprint Backlog'!$G$2:$G$142,"Anna")</f>
        <v>2</v>
      </c>
      <c r="E2" s="12" t="n">
        <f aca="false">COUNTIFS('Sprint Backlog'!$B$2:$B$142,"Sprint 3",'Sprint Backlog'!$G$2:$G$142,"Anna")</f>
        <v>3</v>
      </c>
      <c r="F2" s="12" t="n">
        <f aca="false">COUNTIFS('Sprint Backlog'!$B$2:$B$142,"Sprint 4",'Sprint Backlog'!$G$2:$G$142,"Anna")</f>
        <v>2</v>
      </c>
      <c r="G2" s="12" t="n">
        <f aca="false">SUM(C2:F2)</f>
        <v>10</v>
      </c>
    </row>
    <row r="3" customFormat="false" ht="15" hidden="false" customHeight="false" outlineLevel="0" collapsed="false">
      <c r="A3" s="12" t="s">
        <v>32</v>
      </c>
      <c r="B3" s="12" t="s">
        <v>33</v>
      </c>
      <c r="C3" s="12" t="n">
        <f aca="false">COUNTIFS('Sprint Backlog'!$B$2:$B$142,"Sprint 1",'Sprint Backlog'!$G$2:$G$142,"Illia")</f>
        <v>2</v>
      </c>
      <c r="D3" s="12" t="n">
        <f aca="false">COUNTIFS('Sprint Backlog'!$B$2:$B$142,"Sprint 2",'Sprint Backlog'!$G$2:$G$142,"Illia")</f>
        <v>1</v>
      </c>
      <c r="E3" s="12" t="n">
        <f aca="false">COUNTIFS('Sprint Backlog'!$B$2:$B$142,"Sprint 3",'Sprint Backlog'!$G$2:$G$142,"Illia")</f>
        <v>2</v>
      </c>
      <c r="F3" s="12" t="n">
        <f aca="false">COUNTIFS('Sprint Backlog'!$B$2:$B$142,"Sprint 4",'Sprint Backlog'!$G$2:$G$142,"Illia")</f>
        <v>1</v>
      </c>
      <c r="G3" s="12" t="n">
        <f aca="false">SUM(C3:F3)</f>
        <v>6</v>
      </c>
    </row>
    <row r="4" customFormat="false" ht="15" hidden="false" customHeight="false" outlineLevel="0" collapsed="false">
      <c r="A4" s="12" t="s">
        <v>47</v>
      </c>
      <c r="B4" s="12" t="s">
        <v>48</v>
      </c>
      <c r="C4" s="12" t="n">
        <f aca="false">COUNTIFS('Sprint Backlog'!$B$2:$B$142,"Sprint 1",'Sprint Backlog'!$G$2:$G$142,"Yana")</f>
        <v>7</v>
      </c>
      <c r="D4" s="12" t="n">
        <f aca="false">COUNTIFS('Sprint Backlog'!$B$2:$B$142,"Sprint 2",'Sprint Backlog'!$G$2:$G$142,"Yana")</f>
        <v>2</v>
      </c>
      <c r="E4" s="12" t="n">
        <f aca="false">COUNTIFS('Sprint Backlog'!$B$2:$B$142,"Sprint 3",'Sprint Backlog'!$G$2:$G$142,"Yana")</f>
        <v>3</v>
      </c>
      <c r="F4" s="12" t="n">
        <f aca="false">COUNTIFS('Sprint Backlog'!$B$2:$B$142,"Sprint 4",'Sprint Backlog'!$G$2:$G$142,"Yana")</f>
        <v>3</v>
      </c>
      <c r="G4" s="12" t="n">
        <f aca="false">SUM(C4:F4)</f>
        <v>15</v>
      </c>
    </row>
    <row r="5" customFormat="false" ht="15" hidden="false" customHeight="false" outlineLevel="0" collapsed="false">
      <c r="A5" s="12" t="s">
        <v>60</v>
      </c>
      <c r="B5" s="12" t="s">
        <v>48</v>
      </c>
      <c r="C5" s="12" t="n">
        <f aca="false">COUNTIFS('Sprint Backlog'!$B$2:$B$142,"Sprint 1",'Sprint Backlog'!$G$2:$G$142,"Yaroslav")</f>
        <v>7</v>
      </c>
      <c r="D5" s="12" t="n">
        <f aca="false">COUNTIFS('Sprint Backlog'!$B$2:$B$142,"Sprint 2",'Sprint Backlog'!$G$2:$G$142,"Yaroslav")</f>
        <v>3</v>
      </c>
      <c r="E5" s="12" t="n">
        <f aca="false">COUNTIFS('Sprint Backlog'!$B$2:$B$142,"Sprint 3",'Sprint Backlog'!$G$2:$G$142,"Yaroslav")</f>
        <v>2</v>
      </c>
      <c r="F5" s="12" t="n">
        <f aca="false">COUNTIFS('Sprint Backlog'!$B$2:$B$142,"Sprint 4",'Sprint Backlog'!$G$2:$G$142,"Yaroslav")</f>
        <v>2</v>
      </c>
      <c r="G5" s="12" t="n">
        <f aca="false">SUM(C5:F5)</f>
        <v>14</v>
      </c>
    </row>
    <row r="6" customFormat="false" ht="15" hidden="false" customHeight="false" outlineLevel="0" collapsed="false">
      <c r="A6" s="12" t="s">
        <v>40</v>
      </c>
      <c r="B6" s="12" t="s">
        <v>41</v>
      </c>
      <c r="C6" s="12" t="n">
        <f aca="false">COUNTIFS('Sprint Backlog'!$B$2:$B$142,"Sprint 1",'Sprint Backlog'!$G$2:$G$142,"Marika")</f>
        <v>14</v>
      </c>
      <c r="D6" s="12" t="n">
        <f aca="false">COUNTIFS('Sprint Backlog'!$B$2:$B$142,"Sprint 2",'Sprint Backlog'!$G$2:$G$142,"Marika")</f>
        <v>12</v>
      </c>
      <c r="E6" s="12" t="n">
        <f aca="false">COUNTIFS('Sprint Backlog'!$B$2:$B$142,"Sprint 3",'Sprint Backlog'!$G$2:$G$142,"Marika")</f>
        <v>5</v>
      </c>
      <c r="F6" s="12" t="n">
        <f aca="false">COUNTIFS('Sprint Backlog'!$B$2:$B$142,"Sprint 4",'Sprint Backlog'!$G$2:$G$142,"Marika")</f>
        <v>3</v>
      </c>
      <c r="G6" s="12" t="n">
        <f aca="false">SUM(C6:F6)</f>
        <v>34</v>
      </c>
    </row>
    <row r="7" customFormat="false" ht="15" hidden="false" customHeight="false" outlineLevel="0" collapsed="false">
      <c r="A7" s="12" t="s">
        <v>201</v>
      </c>
      <c r="B7" s="12" t="s">
        <v>41</v>
      </c>
      <c r="C7" s="12" t="n">
        <f aca="false">COUNTIFS('Sprint Backlog'!$B$2:$B$142,"Sprint 1",'Sprint Backlog'!$G$2:$G$142,"Vanya")</f>
        <v>0</v>
      </c>
      <c r="D7" s="12" t="n">
        <f aca="false">COUNTIFS('Sprint Backlog'!$B$2:$B$142,"Sprint 2",'Sprint Backlog'!$G$2:$G$142,"Vanya")</f>
        <v>0</v>
      </c>
      <c r="E7" s="12" t="n">
        <f aca="false">COUNTIFS('Sprint Backlog'!$B$2:$B$142,"Sprint 3",'Sprint Backlog'!$G$2:$G$142,"Vanya")</f>
        <v>0</v>
      </c>
      <c r="F7" s="12" t="n">
        <f aca="false">COUNTIFS('Sprint Backlog'!$B$2:$B$142,"Sprint 4",'Sprint Backlog'!$G$2:$G$142,"Vanya")</f>
        <v>6</v>
      </c>
      <c r="G7" s="12" t="n">
        <f aca="false">SUM(C7:F7)</f>
        <v>6</v>
      </c>
    </row>
    <row r="8" customFormat="false" ht="15" hidden="false" customHeight="false" outlineLevel="0" collapsed="false">
      <c r="A8" s="12" t="s">
        <v>119</v>
      </c>
      <c r="B8" s="12" t="s">
        <v>116</v>
      </c>
      <c r="C8" s="12" t="n">
        <f aca="false">COUNTIFS('Sprint Backlog'!$B$2:$B$142,"Sprint 1",'Sprint Backlog'!$G$2:$G$142,"Iryna")</f>
        <v>3</v>
      </c>
      <c r="D8" s="12" t="n">
        <f aca="false">COUNTIFS('Sprint Backlog'!$B$2:$B$142,"Sprint 2",'Sprint Backlog'!$G$2:$G$142,"Iryna")</f>
        <v>2</v>
      </c>
      <c r="E8" s="12" t="n">
        <f aca="false">COUNTIFS('Sprint Backlog'!$B$2:$B$142,"Sprint 3",'Sprint Backlog'!$G$2:$G$142,"Iryna")</f>
        <v>3</v>
      </c>
      <c r="F8" s="12" t="n">
        <f aca="false">COUNTIFS('Sprint Backlog'!$B$2:$B$142,"Sprint 4",'Sprint Backlog'!$G$2:$G$142,"Iryna")</f>
        <v>3</v>
      </c>
      <c r="G8" s="12" t="n">
        <f aca="false">SUM(C8:F8)</f>
        <v>11</v>
      </c>
    </row>
    <row r="9" customFormat="false" ht="15" hidden="false" customHeight="false" outlineLevel="0" collapsed="false">
      <c r="A9" s="12" t="s">
        <v>114</v>
      </c>
      <c r="B9" s="12" t="s">
        <v>115</v>
      </c>
      <c r="C9" s="12" t="n">
        <f aca="false">COUNTIFS('Sprint Backlog'!$B$2:$B$142,"Sprint 1",'Sprint Backlog'!$G$2:$G$142,"Oksana")</f>
        <v>1</v>
      </c>
      <c r="D9" s="12" t="n">
        <f aca="false">COUNTIFS('Sprint Backlog'!$B$2:$B$142,"Sprint 2",'Sprint Backlog'!$G$2:$G$142,"Oksana")</f>
        <v>1</v>
      </c>
      <c r="E9" s="12" t="n">
        <f aca="false">COUNTIFS('Sprint Backlog'!$B$2:$B$142,"Sprint 3",'Sprint Backlog'!$G$2:$G$142,"Oksana")</f>
        <v>1</v>
      </c>
      <c r="F9" s="12" t="n">
        <f aca="false">COUNTIFS('Sprint Backlog'!$B$2:$B$142,"Sprint 4",'Sprint Backlog'!$G$2:$G$142,"Oksana")</f>
        <v>1</v>
      </c>
      <c r="G9" s="12" t="n">
        <f aca="false">SUM(C9:F9)</f>
        <v>4</v>
      </c>
    </row>
    <row r="10" customFormat="false" ht="15" hidden="false" customHeight="false" outlineLevel="0" collapsed="false">
      <c r="A10" s="13" t="s">
        <v>249</v>
      </c>
      <c r="B10" s="14"/>
      <c r="C10" s="14" t="n">
        <f aca="false">SUM(C2:C9)</f>
        <v>37</v>
      </c>
      <c r="D10" s="14" t="n">
        <f aca="false">SUM(D2:D9)</f>
        <v>23</v>
      </c>
      <c r="E10" s="14" t="n">
        <f aca="false">SUM(E2:E9)</f>
        <v>19</v>
      </c>
      <c r="F10" s="14" t="n">
        <f aca="false">SUM(F2:F9)</f>
        <v>21</v>
      </c>
      <c r="G10" s="14" t="n">
        <f aca="false">SUM(G2:G9)</f>
        <v>100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5"/>
  </cols>
  <sheetData>
    <row r="1" customFormat="false" ht="30" hidden="false" customHeight="true" outlineLevel="0" collapsed="false">
      <c r="A1" s="15" t="s">
        <v>250</v>
      </c>
    </row>
    <row r="2" customFormat="false" ht="15" hidden="false" customHeight="true" outlineLevel="0" collapsed="false">
      <c r="A2" s="15"/>
    </row>
    <row r="3" customFormat="false" ht="45" hidden="false" customHeight="true" outlineLevel="0" collapsed="false">
      <c r="A3" s="15" t="s">
        <v>251</v>
      </c>
    </row>
    <row r="4" customFormat="false" ht="15" hidden="false" customHeight="true" outlineLevel="0" collapsed="false">
      <c r="A4" s="15"/>
    </row>
    <row r="5" customFormat="false" ht="45" hidden="false" customHeight="true" outlineLevel="0" collapsed="false">
      <c r="A5" s="15" t="s">
        <v>252</v>
      </c>
    </row>
    <row r="6" customFormat="false" ht="15" hidden="false" customHeight="true" outlineLevel="0" collapsed="false">
      <c r="A6" s="15"/>
    </row>
    <row r="7" customFormat="false" ht="45" hidden="false" customHeight="true" outlineLevel="0" collapsed="false">
      <c r="A7" s="15" t="s">
        <v>253</v>
      </c>
    </row>
    <row r="8" customFormat="false" ht="15" hidden="false" customHeight="true" outlineLevel="0" collapsed="false">
      <c r="A8" s="15"/>
    </row>
    <row r="9" customFormat="false" ht="30" hidden="false" customHeight="true" outlineLevel="0" collapsed="false">
      <c r="A9" s="15" t="s">
        <v>254</v>
      </c>
    </row>
    <row r="10" customFormat="false" ht="15" hidden="false" customHeight="true" outlineLevel="0" collapsed="false">
      <c r="A10" s="15"/>
    </row>
    <row r="11" customFormat="false" ht="30" hidden="false" customHeight="true" outlineLevel="0" collapsed="false">
      <c r="A11" s="16" t="s">
        <v>255</v>
      </c>
    </row>
    <row r="12" customFormat="false" ht="15" hidden="false" customHeight="true" outlineLevel="0" collapsed="false">
      <c r="A12" s="15"/>
    </row>
    <row r="13" customFormat="false" ht="45" hidden="false" customHeight="true" outlineLevel="0" collapsed="false">
      <c r="A13" s="15" t="s">
        <v>256</v>
      </c>
    </row>
    <row r="14" customFormat="false" ht="15" hidden="false" customHeight="true" outlineLevel="0" collapsed="false">
      <c r="A14" s="15"/>
    </row>
    <row r="15" customFormat="false" ht="45" hidden="false" customHeight="true" outlineLevel="0" collapsed="false">
      <c r="A15" s="15" t="s">
        <v>257</v>
      </c>
    </row>
    <row r="16" customFormat="false" ht="15" hidden="false" customHeight="true" outlineLevel="0" collapsed="false">
      <c r="A16" s="15"/>
    </row>
    <row r="17" customFormat="false" ht="45" hidden="false" customHeight="true" outlineLevel="0" collapsed="false">
      <c r="A17" s="15" t="s">
        <v>258</v>
      </c>
    </row>
    <row r="18" customFormat="false" ht="15" hidden="false" customHeight="true" outlineLevel="0" collapsed="false">
      <c r="A18" s="15"/>
    </row>
    <row r="19" customFormat="false" ht="45" hidden="false" customHeight="true" outlineLevel="0" collapsed="false">
      <c r="A19" s="15" t="s">
        <v>259</v>
      </c>
    </row>
    <row r="20" customFormat="false" ht="15" hidden="false" customHeight="true" outlineLevel="0" collapsed="false">
      <c r="A20" s="15"/>
    </row>
    <row r="21" customFormat="false" ht="30" hidden="false" customHeight="true" outlineLevel="0" collapsed="false">
      <c r="A21" s="15" t="s">
        <v>260</v>
      </c>
    </row>
    <row r="22" customFormat="false" ht="15" hidden="false" customHeight="true" outlineLevel="0" collapsed="false">
      <c r="A22" s="15"/>
    </row>
    <row r="23" customFormat="false" ht="45" hidden="false" customHeight="true" outlineLevel="0" collapsed="false">
      <c r="A23" s="15" t="s">
        <v>261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2026-09-19T09:49:44Z</dcterms:created>
  <dc:creator>openpyxl</dc:creator>
  <dc:description/>
  <dc:language>en-US</dc:language>
  <cp:lastModifiedBy/>
  <dcterms:modified xsi:type="dcterms:W3CDTF">2026-09-19T09:49:44Z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